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d19905d29507ae9/Desktop/Work/10. Консолидация/"/>
    </mc:Choice>
  </mc:AlternateContent>
  <xr:revisionPtr revIDLastSave="13" documentId="8_{63856B52-8C33-4034-A19E-BC4C5907E320}" xr6:coauthVersionLast="47" xr6:coauthVersionMax="47" xr10:uidLastSave="{0FC5B9F8-7FB8-44C6-A5EA-7917779F7C1D}"/>
  <bookViews>
    <workbookView xWindow="-120" yWindow="-120" windowWidth="38640" windowHeight="21120" xr2:uid="{00000000-000D-0000-FFFF-FFFF00000000}"/>
  </bookViews>
  <sheets>
    <sheet name="mdl" sheetId="1" r:id="rId1"/>
    <sheet name="_checks" sheetId="2" r:id="rId2"/>
    <sheet name="macro_descr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6" i="3" l="1"/>
  <c r="B8" i="2"/>
  <c r="B7" i="2"/>
  <c r="B6" i="2"/>
  <c r="B5" i="2"/>
  <c r="B4" i="2"/>
  <c r="B3" i="2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G4" i="1"/>
  <c r="DG6" i="1"/>
  <c r="DF6" i="1"/>
  <c r="DE6" i="1"/>
  <c r="DD6" i="1"/>
  <c r="DC6" i="1"/>
  <c r="DB6" i="1"/>
  <c r="DA6" i="1"/>
  <c r="CZ6" i="1"/>
  <c r="CY6" i="1"/>
  <c r="CX6" i="1"/>
  <c r="CW6" i="1"/>
  <c r="CV6" i="1"/>
  <c r="CU6" i="1"/>
  <c r="CT6" i="1"/>
  <c r="CS6" i="1"/>
  <c r="CR6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DF26" i="1"/>
  <c r="DE26" i="1"/>
  <c r="DD26" i="1"/>
  <c r="DC26" i="1"/>
  <c r="DB26" i="1"/>
  <c r="DA26" i="1"/>
  <c r="CZ26" i="1"/>
  <c r="CY26" i="1"/>
  <c r="CX26" i="1"/>
  <c r="CW26" i="1"/>
  <c r="CV26" i="1"/>
  <c r="CU26" i="1"/>
  <c r="CT26" i="1"/>
  <c r="CS26" i="1"/>
  <c r="CR26" i="1"/>
  <c r="CQ26" i="1"/>
  <c r="CP26" i="1"/>
  <c r="CO26" i="1"/>
  <c r="CN26" i="1"/>
  <c r="CM26" i="1"/>
  <c r="CL26" i="1"/>
  <c r="CK26" i="1"/>
  <c r="CJ26" i="1"/>
  <c r="CI26" i="1"/>
  <c r="CH26" i="1"/>
  <c r="CG26" i="1"/>
  <c r="CF26" i="1"/>
  <c r="CE26" i="1"/>
  <c r="CD26" i="1"/>
  <c r="CC26" i="1"/>
  <c r="CB26" i="1"/>
  <c r="CA26" i="1"/>
  <c r="BZ26" i="1"/>
  <c r="BY26" i="1"/>
  <c r="BX26" i="1"/>
  <c r="BW26" i="1"/>
  <c r="BV26" i="1"/>
  <c r="BU26" i="1"/>
  <c r="BT26" i="1"/>
  <c r="BS26" i="1"/>
  <c r="BR26" i="1"/>
  <c r="BQ26" i="1"/>
  <c r="BP26" i="1"/>
  <c r="BO26" i="1"/>
  <c r="BN26" i="1"/>
  <c r="BM26" i="1"/>
  <c r="BL26" i="1"/>
  <c r="BK26" i="1"/>
  <c r="BJ26" i="1"/>
  <c r="BI26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G19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G15" i="1"/>
  <c r="G13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G24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G23" i="1"/>
  <c r="I11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G5" i="1"/>
  <c r="H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G11" i="1"/>
  <c r="DG10" i="1"/>
  <c r="DF10" i="1"/>
  <c r="DE10" i="1"/>
  <c r="DD10" i="1"/>
  <c r="DC10" i="1"/>
  <c r="DB10" i="1"/>
  <c r="DA10" i="1"/>
  <c r="CZ10" i="1"/>
  <c r="CY10" i="1"/>
  <c r="CX10" i="1"/>
  <c r="CW10" i="1"/>
  <c r="CV10" i="1"/>
  <c r="CU10" i="1"/>
  <c r="CT10" i="1"/>
  <c r="CS10" i="1"/>
  <c r="CR10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DG7" i="1"/>
  <c r="DF7" i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G8" i="1"/>
  <c r="AB12" i="1" l="1"/>
  <c r="BD12" i="1"/>
  <c r="DD12" i="1"/>
  <c r="I12" i="1"/>
  <c r="AK12" i="1"/>
  <c r="BM12" i="1"/>
  <c r="CO12" i="1"/>
  <c r="BO12" i="1"/>
  <c r="J12" i="1"/>
  <c r="AL12" i="1"/>
  <c r="BN12" i="1"/>
  <c r="CP12" i="1"/>
  <c r="W12" i="1"/>
  <c r="CA12" i="1"/>
  <c r="CB12" i="1"/>
  <c r="AY12" i="1"/>
  <c r="DC12" i="1"/>
  <c r="X12" i="1"/>
  <c r="AZ12" i="1"/>
  <c r="T12" i="1"/>
  <c r="AV12" i="1"/>
  <c r="BX12" i="1"/>
  <c r="CZ12" i="1"/>
  <c r="K12" i="1"/>
  <c r="AM12" i="1"/>
  <c r="CQ12" i="1"/>
  <c r="BA12" i="1"/>
  <c r="CY12" i="1"/>
  <c r="AC12" i="1"/>
  <c r="CX12" i="1"/>
  <c r="CC12" i="1"/>
  <c r="AU12" i="1"/>
  <c r="Z12" i="1"/>
  <c r="CD12" i="1"/>
  <c r="DB12" i="1"/>
  <c r="V12" i="1"/>
  <c r="AA12" i="1"/>
  <c r="CE12" i="1"/>
  <c r="AW12" i="1"/>
  <c r="CF12" i="1"/>
  <c r="BE12" i="1"/>
  <c r="BF12" i="1"/>
  <c r="BV12" i="1"/>
  <c r="R12" i="1"/>
  <c r="CI12" i="1"/>
  <c r="BU12" i="1"/>
  <c r="AS12" i="1"/>
  <c r="AF12" i="1"/>
  <c r="CJ12" i="1"/>
  <c r="BT12" i="1"/>
  <c r="AR12" i="1"/>
  <c r="AG12" i="1"/>
  <c r="CK12" i="1"/>
  <c r="BS12" i="1"/>
  <c r="O12" i="1"/>
  <c r="BJ12" i="1"/>
  <c r="BR12" i="1"/>
  <c r="G12" i="1"/>
  <c r="AI12" i="1"/>
  <c r="BK12" i="1"/>
  <c r="CM12" i="1"/>
  <c r="CS12" i="1"/>
  <c r="BQ12" i="1"/>
  <c r="AO12" i="1"/>
  <c r="M12" i="1"/>
  <c r="Y12" i="1"/>
  <c r="DE12" i="1"/>
  <c r="S12" i="1"/>
  <c r="BW12" i="1"/>
  <c r="BB12" i="1"/>
  <c r="DF12" i="1"/>
  <c r="BZ12" i="1"/>
  <c r="AX12" i="1"/>
  <c r="BC12" i="1"/>
  <c r="DG12" i="1"/>
  <c r="U12" i="1"/>
  <c r="BY12" i="1"/>
  <c r="DA12" i="1"/>
  <c r="CG12" i="1"/>
  <c r="AD12" i="1"/>
  <c r="CH12" i="1"/>
  <c r="AT12" i="1"/>
  <c r="AE12" i="1"/>
  <c r="BG12" i="1"/>
  <c r="CW12" i="1"/>
  <c r="Q12" i="1"/>
  <c r="BH12" i="1"/>
  <c r="CV12" i="1"/>
  <c r="P12" i="1"/>
  <c r="BI12" i="1"/>
  <c r="CU12" i="1"/>
  <c r="AQ12" i="1"/>
  <c r="AH12" i="1"/>
  <c r="CL12" i="1"/>
  <c r="CT12" i="1"/>
  <c r="AP12" i="1"/>
  <c r="N12" i="1"/>
  <c r="H12" i="1"/>
  <c r="AJ12" i="1"/>
  <c r="BL12" i="1"/>
  <c r="CN12" i="1"/>
  <c r="CR12" i="1"/>
  <c r="BP12" i="1"/>
  <c r="AN12" i="1"/>
  <c r="L12" i="1"/>
  <c r="T9" i="1"/>
  <c r="AV9" i="1"/>
  <c r="BX9" i="1"/>
  <c r="CZ9" i="1"/>
  <c r="CB9" i="1"/>
  <c r="AZ9" i="1"/>
  <c r="DG9" i="1"/>
  <c r="BH9" i="1"/>
  <c r="DE9" i="1"/>
  <c r="DF9" i="1"/>
  <c r="W9" i="1"/>
  <c r="CY9" i="1"/>
  <c r="AY9" i="1"/>
  <c r="CA9" i="1"/>
  <c r="AH9" i="1"/>
  <c r="BJ9" i="1"/>
  <c r="G9" i="1"/>
  <c r="AC9" i="1"/>
  <c r="BE9" i="1"/>
  <c r="CG9" i="1"/>
  <c r="BI9" i="1"/>
  <c r="CK9" i="1"/>
  <c r="AW9" i="1"/>
  <c r="DA9" i="1"/>
  <c r="AX9" i="1"/>
  <c r="V9" i="1"/>
  <c r="DB9" i="1"/>
  <c r="U9" i="1"/>
  <c r="BY9" i="1"/>
  <c r="BZ9" i="1"/>
  <c r="AD9" i="1"/>
  <c r="BF9" i="1"/>
  <c r="CH9" i="1"/>
  <c r="AE9" i="1"/>
  <c r="BG9" i="1"/>
  <c r="CI9" i="1"/>
  <c r="AF9" i="1"/>
  <c r="CJ9" i="1"/>
  <c r="CL9" i="1"/>
  <c r="H9" i="1"/>
  <c r="AJ9" i="1"/>
  <c r="BL9" i="1"/>
  <c r="CN9" i="1"/>
  <c r="AG9" i="1"/>
  <c r="I9" i="1"/>
  <c r="AK9" i="1"/>
  <c r="BM9" i="1"/>
  <c r="CO9" i="1"/>
  <c r="CF9" i="1"/>
  <c r="AB9" i="1"/>
  <c r="AP9" i="1"/>
  <c r="CT9" i="1"/>
  <c r="BC9" i="1"/>
  <c r="O9" i="1"/>
  <c r="AQ9" i="1"/>
  <c r="CU9" i="1"/>
  <c r="CD9" i="1"/>
  <c r="BB9" i="1"/>
  <c r="Z9" i="1"/>
  <c r="AR9" i="1"/>
  <c r="BT9" i="1"/>
  <c r="CV9" i="1"/>
  <c r="BA9" i="1"/>
  <c r="Q9" i="1"/>
  <c r="CW9" i="1"/>
  <c r="DD9" i="1"/>
  <c r="X9" i="1"/>
  <c r="BD9" i="1"/>
  <c r="N9" i="1"/>
  <c r="BR9" i="1"/>
  <c r="CE9" i="1"/>
  <c r="AA9" i="1"/>
  <c r="BS9" i="1"/>
  <c r="P9" i="1"/>
  <c r="CC9" i="1"/>
  <c r="Y9" i="1"/>
  <c r="AS9" i="1"/>
  <c r="BU9" i="1"/>
  <c r="DC9" i="1"/>
  <c r="S9" i="1"/>
  <c r="AU9" i="1"/>
  <c r="BW9" i="1"/>
  <c r="AI9" i="1"/>
  <c r="BK9" i="1"/>
  <c r="CM9" i="1"/>
  <c r="J9" i="1"/>
  <c r="AL9" i="1"/>
  <c r="BN9" i="1"/>
  <c r="CP9" i="1"/>
  <c r="K9" i="1"/>
  <c r="AM9" i="1"/>
  <c r="BO9" i="1"/>
  <c r="CQ9" i="1"/>
  <c r="L9" i="1"/>
  <c r="AN9" i="1"/>
  <c r="BP9" i="1"/>
  <c r="CR9" i="1"/>
  <c r="M9" i="1"/>
  <c r="AO9" i="1"/>
  <c r="BQ9" i="1"/>
  <c r="CS9" i="1"/>
  <c r="AT9" i="1"/>
  <c r="BV9" i="1"/>
  <c r="R9" i="1"/>
  <c r="CX9" i="1"/>
  <c r="C3" i="2" l="1"/>
  <c r="C4" i="2"/>
  <c r="V14" i="1"/>
  <c r="V16" i="1" s="1"/>
  <c r="N14" i="1"/>
  <c r="N16" i="1" s="1"/>
  <c r="R14" i="1"/>
  <c r="R16" i="1" s="1"/>
  <c r="S14" i="1"/>
  <c r="S16" i="1" s="1"/>
  <c r="L14" i="1"/>
  <c r="L16" i="1" s="1"/>
  <c r="M14" i="1"/>
  <c r="M16" i="1" s="1"/>
  <c r="P14" i="1"/>
  <c r="P16" i="1" s="1"/>
  <c r="Z14" i="1"/>
  <c r="Z16" i="1" s="1"/>
  <c r="X14" i="1"/>
  <c r="X16" i="1" s="1"/>
  <c r="Q14" i="1"/>
  <c r="Q16" i="1" s="1"/>
  <c r="O14" i="1"/>
  <c r="O16" i="1" s="1"/>
  <c r="Y14" i="1"/>
  <c r="Y16" i="1" s="1"/>
  <c r="K14" i="1"/>
  <c r="K16" i="1" s="1"/>
  <c r="T14" i="1"/>
  <c r="T16" i="1" s="1"/>
  <c r="AA14" i="1"/>
  <c r="AA16" i="1" s="1"/>
  <c r="H14" i="1"/>
  <c r="H16" i="1" s="1"/>
  <c r="J14" i="1"/>
  <c r="J16" i="1" s="1"/>
  <c r="U14" i="1"/>
  <c r="U16" i="1" s="1"/>
  <c r="W14" i="1"/>
  <c r="W16" i="1" s="1"/>
  <c r="I14" i="1"/>
  <c r="I16" i="1" s="1"/>
  <c r="AB14" i="1"/>
  <c r="AB16" i="1" s="1"/>
  <c r="G14" i="1"/>
  <c r="G16" i="1" s="1"/>
  <c r="G17" i="1"/>
  <c r="H17" i="1" l="1"/>
  <c r="H18" i="1" s="1"/>
  <c r="H20" i="1" s="1"/>
  <c r="J17" i="1"/>
  <c r="J18" i="1" s="1"/>
  <c r="J20" i="1" s="1"/>
  <c r="G18" i="1"/>
  <c r="AQ14" i="1"/>
  <c r="AQ16" i="1" s="1"/>
  <c r="AP14" i="1"/>
  <c r="AP16" i="1" s="1"/>
  <c r="AF14" i="1"/>
  <c r="AF16" i="1" s="1"/>
  <c r="BE14" i="1"/>
  <c r="BE16" i="1" s="1"/>
  <c r="AE14" i="1"/>
  <c r="AE16" i="1" s="1"/>
  <c r="AC14" i="1"/>
  <c r="AC16" i="1" s="1"/>
  <c r="AG14" i="1"/>
  <c r="AG16" i="1" s="1"/>
  <c r="BD14" i="1"/>
  <c r="BD16" i="1" s="1"/>
  <c r="AX14" i="1"/>
  <c r="AX16" i="1" s="1"/>
  <c r="AY14" i="1"/>
  <c r="AY16" i="1" s="1"/>
  <c r="AD14" i="1"/>
  <c r="AD16" i="1" s="1"/>
  <c r="AO14" i="1"/>
  <c r="AO16" i="1" s="1"/>
  <c r="AN14" i="1"/>
  <c r="AN16" i="1" s="1"/>
  <c r="BG14" i="1"/>
  <c r="BG16" i="1" s="1"/>
  <c r="BC14" i="1"/>
  <c r="BC16" i="1" s="1"/>
  <c r="AH14" i="1"/>
  <c r="AH16" i="1" s="1"/>
  <c r="BF14" i="1"/>
  <c r="BF16" i="1" s="1"/>
  <c r="BB14" i="1"/>
  <c r="BB16" i="1" s="1"/>
  <c r="I17" i="1"/>
  <c r="G20" i="1" l="1"/>
  <c r="G21" i="1" s="1"/>
  <c r="H21" i="1"/>
  <c r="H22" i="1" s="1"/>
  <c r="J21" i="1"/>
  <c r="J22" i="1" s="1"/>
  <c r="BI14" i="1"/>
  <c r="BI16" i="1" s="1"/>
  <c r="BH14" i="1"/>
  <c r="BH16" i="1" s="1"/>
  <c r="AU14" i="1"/>
  <c r="AU16" i="1" s="1"/>
  <c r="BJ14" i="1"/>
  <c r="BJ16" i="1" s="1"/>
  <c r="AW14" i="1"/>
  <c r="AW16" i="1" s="1"/>
  <c r="AT14" i="1"/>
  <c r="AT16" i="1" s="1"/>
  <c r="AV14" i="1"/>
  <c r="AV16" i="1" s="1"/>
  <c r="AR14" i="1"/>
  <c r="AR16" i="1" s="1"/>
  <c r="BK14" i="1"/>
  <c r="BK16" i="1" s="1"/>
  <c r="AZ14" i="1"/>
  <c r="AZ16" i="1" s="1"/>
  <c r="BA14" i="1"/>
  <c r="BA16" i="1" s="1"/>
  <c r="AS14" i="1"/>
  <c r="AS16" i="1" s="1"/>
  <c r="K17" i="1"/>
  <c r="J25" i="1" l="1"/>
  <c r="J27" i="1" s="1"/>
  <c r="H25" i="1"/>
  <c r="H27" i="1" s="1"/>
  <c r="G22" i="1"/>
  <c r="G25" i="1" s="1"/>
  <c r="I18" i="1"/>
  <c r="BL14" i="1"/>
  <c r="BL16" i="1" s="1"/>
  <c r="BN14" i="1"/>
  <c r="BN16" i="1" s="1"/>
  <c r="BO14" i="1"/>
  <c r="BO16" i="1" s="1"/>
  <c r="BM14" i="1"/>
  <c r="BM16" i="1" s="1"/>
  <c r="N17" i="1"/>
  <c r="L17" i="1"/>
  <c r="G27" i="1" l="1"/>
  <c r="I20" i="1"/>
  <c r="K18" i="1"/>
  <c r="K20" i="1" s="1"/>
  <c r="BP14" i="1"/>
  <c r="BP16" i="1" s="1"/>
  <c r="BQ14" i="1"/>
  <c r="BQ16" i="1" s="1"/>
  <c r="BS14" i="1"/>
  <c r="BS16" i="1" s="1"/>
  <c r="BR14" i="1"/>
  <c r="BR16" i="1" s="1"/>
  <c r="M17" i="1"/>
  <c r="K21" i="1" l="1"/>
  <c r="K22" i="1" s="1"/>
  <c r="I21" i="1"/>
  <c r="L18" i="1"/>
  <c r="L20" i="1" s="1"/>
  <c r="N18" i="1"/>
  <c r="N20" i="1" s="1"/>
  <c r="BV14" i="1"/>
  <c r="BV16" i="1" s="1"/>
  <c r="BT14" i="1"/>
  <c r="BT16" i="1" s="1"/>
  <c r="BU14" i="1"/>
  <c r="BU16" i="1" s="1"/>
  <c r="BW14" i="1"/>
  <c r="BW16" i="1" s="1"/>
  <c r="O17" i="1"/>
  <c r="K25" i="1" l="1"/>
  <c r="K27" i="1" s="1"/>
  <c r="I22" i="1"/>
  <c r="I25" i="1" s="1"/>
  <c r="L21" i="1"/>
  <c r="L22" i="1" s="1"/>
  <c r="N21" i="1"/>
  <c r="N22" i="1" s="1"/>
  <c r="M18" i="1"/>
  <c r="M20" i="1" s="1"/>
  <c r="BY14" i="1"/>
  <c r="BY16" i="1" s="1"/>
  <c r="BZ14" i="1"/>
  <c r="BZ16" i="1" s="1"/>
  <c r="BX14" i="1"/>
  <c r="BX16" i="1" s="1"/>
  <c r="CA14" i="1"/>
  <c r="CA16" i="1" s="1"/>
  <c r="P17" i="1"/>
  <c r="N25" i="1" l="1"/>
  <c r="N27" i="1" s="1"/>
  <c r="L27" i="1"/>
  <c r="L25" i="1"/>
  <c r="I27" i="1"/>
  <c r="M21" i="1"/>
  <c r="M22" i="1" s="1"/>
  <c r="M25" i="1" s="1"/>
  <c r="O18" i="1"/>
  <c r="O20" i="1" s="1"/>
  <c r="CE14" i="1"/>
  <c r="CE16" i="1" s="1"/>
  <c r="CB14" i="1"/>
  <c r="CB16" i="1" s="1"/>
  <c r="CC14" i="1"/>
  <c r="CC16" i="1" s="1"/>
  <c r="CD14" i="1"/>
  <c r="CD16" i="1" s="1"/>
  <c r="O21" i="1" l="1"/>
  <c r="O22" i="1"/>
  <c r="M27" i="1"/>
  <c r="P18" i="1"/>
  <c r="P20" i="1" s="1"/>
  <c r="CH14" i="1"/>
  <c r="CH16" i="1" s="1"/>
  <c r="CF14" i="1"/>
  <c r="CF16" i="1" s="1"/>
  <c r="CG14" i="1"/>
  <c r="CG16" i="1" s="1"/>
  <c r="CI14" i="1"/>
  <c r="CI16" i="1" s="1"/>
  <c r="Q17" i="1"/>
  <c r="O25" i="1" l="1"/>
  <c r="O27" i="1" s="1"/>
  <c r="P21" i="1"/>
  <c r="P22" i="1"/>
  <c r="CJ14" i="1"/>
  <c r="CJ16" i="1" s="1"/>
  <c r="CM14" i="1"/>
  <c r="CM16" i="1" s="1"/>
  <c r="CK14" i="1"/>
  <c r="CK16" i="1" s="1"/>
  <c r="CL14" i="1"/>
  <c r="CL16" i="1" s="1"/>
  <c r="R17" i="1"/>
  <c r="P25" i="1" l="1"/>
  <c r="P27" i="1" s="1"/>
  <c r="Q18" i="1"/>
  <c r="Q20" i="1" s="1"/>
  <c r="CP14" i="1"/>
  <c r="CP16" i="1" s="1"/>
  <c r="CO14" i="1"/>
  <c r="CO16" i="1" s="1"/>
  <c r="CN14" i="1"/>
  <c r="CN16" i="1" s="1"/>
  <c r="CQ14" i="1"/>
  <c r="CQ16" i="1" s="1"/>
  <c r="S17" i="1"/>
  <c r="Q21" i="1" l="1"/>
  <c r="Q22" i="1" s="1"/>
  <c r="R18" i="1"/>
  <c r="R20" i="1" s="1"/>
  <c r="CT14" i="1"/>
  <c r="CT16" i="1" s="1"/>
  <c r="CS14" i="1"/>
  <c r="CS16" i="1" s="1"/>
  <c r="CU14" i="1"/>
  <c r="CU16" i="1" s="1"/>
  <c r="CR14" i="1"/>
  <c r="CR16" i="1" s="1"/>
  <c r="T17" i="1"/>
  <c r="Q25" i="1" l="1"/>
  <c r="Q27" i="1" s="1"/>
  <c r="R21" i="1"/>
  <c r="R22" i="1" s="1"/>
  <c r="S18" i="1"/>
  <c r="S20" i="1" s="1"/>
  <c r="CX14" i="1"/>
  <c r="CX16" i="1" s="1"/>
  <c r="CV14" i="1"/>
  <c r="CV16" i="1" s="1"/>
  <c r="CY14" i="1"/>
  <c r="CY16" i="1" s="1"/>
  <c r="CW14" i="1"/>
  <c r="CW16" i="1" s="1"/>
  <c r="U17" i="1"/>
  <c r="R25" i="1" l="1"/>
  <c r="R27" i="1" s="1"/>
  <c r="S21" i="1"/>
  <c r="S22" i="1" s="1"/>
  <c r="T18" i="1"/>
  <c r="T20" i="1" s="1"/>
  <c r="CZ14" i="1"/>
  <c r="CZ16" i="1" s="1"/>
  <c r="DE14" i="1"/>
  <c r="DE16" i="1" s="1"/>
  <c r="DC14" i="1"/>
  <c r="DC16" i="1" s="1"/>
  <c r="DB14" i="1"/>
  <c r="DB16" i="1" s="1"/>
  <c r="DA14" i="1"/>
  <c r="DA16" i="1" s="1"/>
  <c r="DG14" i="1"/>
  <c r="DG16" i="1" s="1"/>
  <c r="DF14" i="1"/>
  <c r="DF16" i="1" s="1"/>
  <c r="DD14" i="1"/>
  <c r="DD16" i="1" s="1"/>
  <c r="V17" i="1"/>
  <c r="S25" i="1" l="1"/>
  <c r="S27" i="1" s="1"/>
  <c r="T21" i="1"/>
  <c r="T22" i="1" s="1"/>
  <c r="U18" i="1"/>
  <c r="U20" i="1" s="1"/>
  <c r="W17" i="1"/>
  <c r="T25" i="1" l="1"/>
  <c r="T27" i="1" s="1"/>
  <c r="U21" i="1"/>
  <c r="U22" i="1"/>
  <c r="V18" i="1"/>
  <c r="V20" i="1" s="1"/>
  <c r="X17" i="1"/>
  <c r="U25" i="1" l="1"/>
  <c r="U27" i="1" s="1"/>
  <c r="V21" i="1"/>
  <c r="V22" i="1" s="1"/>
  <c r="W18" i="1"/>
  <c r="W20" i="1" s="1"/>
  <c r="Y17" i="1"/>
  <c r="W21" i="1" l="1"/>
  <c r="W22" i="1" s="1"/>
  <c r="X18" i="1"/>
  <c r="X20" i="1" s="1"/>
  <c r="Z17" i="1"/>
  <c r="X21" i="1" l="1"/>
  <c r="X22" i="1" s="1"/>
  <c r="Y18" i="1"/>
  <c r="Y20" i="1" s="1"/>
  <c r="AA17" i="1"/>
  <c r="Y21" i="1" l="1"/>
  <c r="Y22" i="1"/>
  <c r="Z18" i="1"/>
  <c r="Z20" i="1" s="1"/>
  <c r="AB17" i="1"/>
  <c r="Z21" i="1" l="1"/>
  <c r="Z22" i="1"/>
  <c r="AA18" i="1"/>
  <c r="AA20" i="1" s="1"/>
  <c r="AC17" i="1"/>
  <c r="AA21" i="1" l="1"/>
  <c r="AA22" i="1"/>
  <c r="AB18" i="1"/>
  <c r="AB20" i="1" s="1"/>
  <c r="AD17" i="1"/>
  <c r="AB21" i="1" l="1"/>
  <c r="AB22" i="1" s="1"/>
  <c r="AC18" i="1"/>
  <c r="AC20" i="1" s="1"/>
  <c r="AE17" i="1"/>
  <c r="AC21" i="1" l="1"/>
  <c r="AC22" i="1" s="1"/>
  <c r="AD18" i="1"/>
  <c r="AD20" i="1" s="1"/>
  <c r="AF17" i="1"/>
  <c r="AD21" i="1" l="1"/>
  <c r="AD22" i="1"/>
  <c r="AE18" i="1"/>
  <c r="AE20" i="1" s="1"/>
  <c r="AG17" i="1"/>
  <c r="AE21" i="1" l="1"/>
  <c r="AE22" i="1"/>
  <c r="AF18" i="1"/>
  <c r="AF20" i="1" s="1"/>
  <c r="AH17" i="1"/>
  <c r="AF21" i="1" l="1"/>
  <c r="AF22" i="1"/>
  <c r="AG18" i="1"/>
  <c r="AG20" i="1" s="1"/>
  <c r="AG21" i="1" l="1"/>
  <c r="AG22" i="1" s="1"/>
  <c r="AH18" i="1"/>
  <c r="AH20" i="1" s="1"/>
  <c r="AH21" i="1" l="1"/>
  <c r="AH22" i="1" s="1"/>
  <c r="V24" i="1" l="1"/>
  <c r="V25" i="1" l="1"/>
  <c r="V27" i="1" s="1"/>
  <c r="W24" i="1"/>
  <c r="W25" i="1" l="1"/>
  <c r="W27" i="1" s="1"/>
  <c r="X24" i="1"/>
  <c r="X25" i="1" l="1"/>
  <c r="X27" i="1" s="1"/>
  <c r="Y24" i="1"/>
  <c r="Y25" i="1" l="1"/>
  <c r="Y27" i="1" s="1"/>
  <c r="Z24" i="1"/>
  <c r="Z25" i="1" l="1"/>
  <c r="Z27" i="1" s="1"/>
  <c r="AA24" i="1"/>
  <c r="AA25" i="1" l="1"/>
  <c r="AA27" i="1" s="1"/>
  <c r="AB24" i="1"/>
  <c r="AB23" i="1" l="1"/>
  <c r="AC23" i="1"/>
  <c r="AB25" i="1" l="1"/>
  <c r="AB27" i="1" s="1"/>
  <c r="AD23" i="1"/>
  <c r="AE23" i="1" l="1"/>
  <c r="AF23" i="1" l="1"/>
  <c r="AG23" i="1" l="1"/>
  <c r="AH23" i="1" l="1"/>
  <c r="AI14" i="1" l="1"/>
  <c r="AI16" i="1" s="1"/>
  <c r="AJ14" i="1"/>
  <c r="AJ16" i="1" s="1"/>
  <c r="AI23" i="1" l="1"/>
  <c r="AE24" i="1" l="1"/>
  <c r="AE25" i="1" l="1"/>
  <c r="AE27" i="1" s="1"/>
  <c r="AI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AJ17" i="1" l="1"/>
  <c r="AZ18" i="1"/>
  <c r="AY18" i="1"/>
  <c r="AW18" i="1"/>
  <c r="AX18" i="1"/>
  <c r="AV18" i="1"/>
  <c r="AQ18" i="1"/>
  <c r="AO18" i="1"/>
  <c r="AN18" i="1"/>
  <c r="AU18" i="1"/>
  <c r="AT18" i="1"/>
  <c r="AP18" i="1"/>
  <c r="AS18" i="1"/>
  <c r="AR18" i="1"/>
  <c r="AI18" i="1" l="1"/>
  <c r="AI20" i="1" s="1"/>
  <c r="AJ18" i="1"/>
  <c r="AJ20" i="1" s="1"/>
  <c r="AJ21" i="1" l="1"/>
  <c r="AJ22" i="1" s="1"/>
  <c r="AI21" i="1"/>
  <c r="AI22" i="1" s="1"/>
  <c r="AC24" i="1" l="1"/>
  <c r="AD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AH25" i="1" l="1"/>
  <c r="AH27" i="1" s="1"/>
  <c r="AG25" i="1"/>
  <c r="AG27" i="1" s="1"/>
  <c r="AF25" i="1"/>
  <c r="AF27" i="1" s="1"/>
  <c r="AD25" i="1"/>
  <c r="AD27" i="1" s="1"/>
  <c r="AC25" i="1"/>
  <c r="AC27" i="1" s="1"/>
  <c r="AI25" i="1"/>
  <c r="AI27" i="1" s="1"/>
  <c r="BA17" i="1"/>
  <c r="BA18" i="1" l="1"/>
  <c r="BB24" i="1" l="1"/>
  <c r="BC24" i="1" l="1"/>
  <c r="BB17" i="1"/>
  <c r="BB18" i="1" l="1"/>
  <c r="BC17" i="1" l="1"/>
  <c r="BC18" i="1" l="1"/>
  <c r="BD24" i="1" l="1"/>
  <c r="BD17" i="1" l="1"/>
  <c r="BD18" i="1" l="1"/>
  <c r="BE24" i="1" l="1"/>
  <c r="BE17" i="1" l="1"/>
  <c r="BE18" i="1" l="1"/>
  <c r="BF24" i="1" l="1"/>
  <c r="BG24" i="1" l="1"/>
  <c r="BF17" i="1" l="1"/>
  <c r="BF18" i="1" l="1"/>
  <c r="BG17" i="1" l="1"/>
  <c r="BG18" i="1" l="1"/>
  <c r="BH24" i="1" l="1"/>
  <c r="BH17" i="1" l="1"/>
  <c r="BH18" i="1" l="1"/>
  <c r="BI24" i="1" l="1"/>
  <c r="BI17" i="1" l="1"/>
  <c r="BI18" i="1" l="1"/>
  <c r="BJ24" i="1" l="1"/>
  <c r="BJ17" i="1" l="1"/>
  <c r="BJ18" i="1" l="1"/>
  <c r="BK24" i="1" l="1"/>
  <c r="BK17" i="1" l="1"/>
  <c r="BK18" i="1" l="1"/>
  <c r="BL24" i="1"/>
  <c r="BL17" i="1" l="1"/>
  <c r="BL18" i="1" l="1"/>
  <c r="BM24" i="1" l="1"/>
  <c r="BM17" i="1" l="1"/>
  <c r="BM18" i="1" l="1"/>
  <c r="BN24" i="1" l="1"/>
  <c r="BN17" i="1" l="1"/>
  <c r="BN18" i="1" l="1"/>
  <c r="BO24" i="1" l="1"/>
  <c r="BP24" i="1" l="1"/>
  <c r="BO17" i="1"/>
  <c r="BO18" i="1" l="1"/>
  <c r="BP17" i="1" l="1"/>
  <c r="BP18" i="1" l="1"/>
  <c r="BQ24" i="1" l="1"/>
  <c r="BQ17" i="1" l="1"/>
  <c r="BQ18" i="1" l="1"/>
  <c r="BR24" i="1" l="1"/>
  <c r="BR17" i="1" l="1"/>
  <c r="BR18" i="1" l="1"/>
  <c r="BS24" i="1" l="1"/>
  <c r="BS17" i="1" l="1"/>
  <c r="BS18" i="1" l="1"/>
  <c r="BT24" i="1" l="1"/>
  <c r="BT17" i="1" l="1"/>
  <c r="BT18" i="1" l="1"/>
  <c r="BU24" i="1"/>
  <c r="BV24" i="1" l="1"/>
  <c r="BU17" i="1" l="1"/>
  <c r="BU18" i="1" l="1"/>
  <c r="BV17" i="1" l="1"/>
  <c r="BV18" i="1" l="1"/>
  <c r="BW24" i="1" l="1"/>
  <c r="BW17" i="1" l="1"/>
  <c r="BW18" i="1" l="1"/>
  <c r="BX24" i="1" l="1"/>
  <c r="BX17" i="1" l="1"/>
  <c r="BX18" i="1" l="1"/>
  <c r="BY24" i="1" l="1"/>
  <c r="BY17" i="1" l="1"/>
  <c r="BY18" i="1" l="1"/>
  <c r="BZ24" i="1" l="1"/>
  <c r="CA24" i="1" l="1"/>
  <c r="BZ17" i="1" l="1"/>
  <c r="BZ18" i="1" l="1"/>
  <c r="CA17" i="1" l="1"/>
  <c r="CA18" i="1" l="1"/>
  <c r="CB24" i="1" l="1"/>
  <c r="CB17" i="1" l="1"/>
  <c r="CB18" i="1" l="1"/>
  <c r="CC24" i="1" l="1"/>
  <c r="CC17" i="1" l="1"/>
  <c r="CC18" i="1" l="1"/>
  <c r="CD24" i="1"/>
  <c r="CD17" i="1" l="1"/>
  <c r="CD18" i="1" l="1"/>
  <c r="CE24" i="1" l="1"/>
  <c r="CE17" i="1" l="1"/>
  <c r="CE18" i="1" l="1"/>
  <c r="CF24" i="1" l="1"/>
  <c r="AJ23" i="1" l="1"/>
  <c r="AJ25" i="1" l="1"/>
  <c r="AJ27" i="1" s="1"/>
  <c r="BE19" i="1"/>
  <c r="BR19" i="1"/>
  <c r="BR20" i="1" s="1"/>
  <c r="BK19" i="1"/>
  <c r="BD19" i="1"/>
  <c r="AW19" i="1"/>
  <c r="AP19" i="1"/>
  <c r="BL19" i="1"/>
  <c r="BJ19" i="1"/>
  <c r="AV19" i="1"/>
  <c r="AO19" i="1"/>
  <c r="AQ19" i="1"/>
  <c r="AX19" i="1"/>
  <c r="BC19" i="1"/>
  <c r="BV19" i="1"/>
  <c r="AT19" i="1"/>
  <c r="AL19" i="1"/>
  <c r="BP19" i="1"/>
  <c r="BU19" i="1"/>
  <c r="BG19" i="1"/>
  <c r="AS19" i="1"/>
  <c r="BN19" i="1"/>
  <c r="AZ19" i="1"/>
  <c r="CA19" i="1"/>
  <c r="BQ19" i="1"/>
  <c r="BH19" i="1"/>
  <c r="AK19" i="1"/>
  <c r="BS19" i="1"/>
  <c r="BZ19" i="1"/>
  <c r="CE19" i="1"/>
  <c r="AU19" i="1"/>
  <c r="CC19" i="1"/>
  <c r="CD19" i="1"/>
  <c r="BO19" i="1"/>
  <c r="AM19" i="1"/>
  <c r="BT19" i="1"/>
  <c r="BM19" i="1"/>
  <c r="BF19" i="1"/>
  <c r="AY19" i="1"/>
  <c r="AR19" i="1"/>
  <c r="BX19" i="1"/>
  <c r="BW19" i="1"/>
  <c r="BI19" i="1"/>
  <c r="BB19" i="1"/>
  <c r="AN19" i="1"/>
  <c r="BA19" i="1"/>
  <c r="CB19" i="1"/>
  <c r="BE20" i="1"/>
  <c r="BD20" i="1"/>
  <c r="AW20" i="1"/>
  <c r="AP20" i="1"/>
  <c r="AU20" i="1"/>
  <c r="CE20" i="1"/>
  <c r="CD20" i="1"/>
  <c r="CC20" i="1"/>
  <c r="CD21" i="1" l="1"/>
  <c r="CD22" i="1" s="1"/>
  <c r="AU21" i="1"/>
  <c r="AU22" i="1" s="1"/>
  <c r="AW21" i="1"/>
  <c r="AW22" i="1" s="1"/>
  <c r="CC21" i="1"/>
  <c r="CC22" i="1" s="1"/>
  <c r="BR21" i="1"/>
  <c r="BR22" i="1" s="1"/>
  <c r="BE21" i="1"/>
  <c r="BE22" i="1" s="1"/>
  <c r="BD21" i="1"/>
  <c r="BD22" i="1" s="1"/>
  <c r="CE21" i="1"/>
  <c r="CE22" i="1" s="1"/>
  <c r="AP21" i="1"/>
  <c r="AP22" i="1" s="1"/>
  <c r="AN20" i="1"/>
  <c r="BK20" i="1"/>
  <c r="AY20" i="1"/>
  <c r="BM20" i="1"/>
  <c r="BT20" i="1"/>
  <c r="AT20" i="1"/>
  <c r="BS20" i="1"/>
  <c r="BA20" i="1"/>
  <c r="CB20" i="1"/>
  <c r="BU20" i="1"/>
  <c r="BP20" i="1"/>
  <c r="BB20" i="1"/>
  <c r="BF20" i="1"/>
  <c r="BJ20" i="1"/>
  <c r="BI20" i="1"/>
  <c r="BX20" i="1"/>
  <c r="AR20" i="1"/>
  <c r="BO20" i="1"/>
  <c r="BZ20" i="1"/>
  <c r="BH20" i="1"/>
  <c r="BQ20" i="1"/>
  <c r="CA20" i="1"/>
  <c r="AZ20" i="1"/>
  <c r="AS20" i="1"/>
  <c r="BC20" i="1"/>
  <c r="AX20" i="1"/>
  <c r="AQ20" i="1"/>
  <c r="AO20" i="1"/>
  <c r="AV20" i="1"/>
  <c r="BV20" i="1"/>
  <c r="BN20" i="1"/>
  <c r="BG20" i="1"/>
  <c r="BL20" i="1"/>
  <c r="BW20" i="1"/>
  <c r="BY19" i="1"/>
  <c r="AT21" i="1" l="1"/>
  <c r="AT22" i="1"/>
  <c r="BK21" i="1"/>
  <c r="BK22" i="1" s="1"/>
  <c r="CA21" i="1"/>
  <c r="CA22" i="1" s="1"/>
  <c r="BC21" i="1"/>
  <c r="BC22" i="1" s="1"/>
  <c r="BF21" i="1"/>
  <c r="BF22" i="1" s="1"/>
  <c r="AS21" i="1"/>
  <c r="AS22" i="1" s="1"/>
  <c r="BT21" i="1"/>
  <c r="BT22" i="1" s="1"/>
  <c r="BM21" i="1"/>
  <c r="BM22" i="1"/>
  <c r="AY21" i="1"/>
  <c r="AY22" i="1" s="1"/>
  <c r="AN21" i="1"/>
  <c r="AN22" i="1" s="1"/>
  <c r="BP21" i="1"/>
  <c r="BP22" i="1" s="1"/>
  <c r="BZ21" i="1"/>
  <c r="BZ22" i="1" s="1"/>
  <c r="BL21" i="1"/>
  <c r="BL22" i="1" s="1"/>
  <c r="BU21" i="1"/>
  <c r="BU22" i="1" s="1"/>
  <c r="AZ21" i="1"/>
  <c r="AZ22" i="1" s="1"/>
  <c r="BQ21" i="1"/>
  <c r="BQ22" i="1" s="1"/>
  <c r="BH21" i="1"/>
  <c r="BH22" i="1" s="1"/>
  <c r="BW21" i="1"/>
  <c r="BW22" i="1" s="1"/>
  <c r="BO21" i="1"/>
  <c r="BO22" i="1" s="1"/>
  <c r="BG21" i="1"/>
  <c r="BG22" i="1" s="1"/>
  <c r="BX21" i="1"/>
  <c r="BX22" i="1" s="1"/>
  <c r="BI21" i="1"/>
  <c r="BI22" i="1" s="1"/>
  <c r="BJ21" i="1"/>
  <c r="BJ22" i="1" s="1"/>
  <c r="AO21" i="1"/>
  <c r="AO22" i="1" s="1"/>
  <c r="AX21" i="1"/>
  <c r="AX22" i="1" s="1"/>
  <c r="CB21" i="1"/>
  <c r="CB22" i="1" s="1"/>
  <c r="BS21" i="1"/>
  <c r="BS22" i="1" s="1"/>
  <c r="AR21" i="1"/>
  <c r="AR22" i="1" s="1"/>
  <c r="BN21" i="1"/>
  <c r="BN22" i="1"/>
  <c r="BV21" i="1"/>
  <c r="BV22" i="1" s="1"/>
  <c r="AV21" i="1"/>
  <c r="AV22" i="1" s="1"/>
  <c r="BB21" i="1"/>
  <c r="BB22" i="1" s="1"/>
  <c r="AQ21" i="1"/>
  <c r="AQ22" i="1" s="1"/>
  <c r="BA21" i="1"/>
  <c r="BA22" i="1" s="1"/>
  <c r="BY20" i="1"/>
  <c r="CF19" i="1"/>
  <c r="BY21" i="1" l="1"/>
  <c r="BY22" i="1" s="1"/>
  <c r="CF17" i="1" l="1"/>
  <c r="CF18" i="1" l="1"/>
  <c r="CF20" i="1" s="1"/>
  <c r="CF21" i="1" l="1"/>
  <c r="CF22" i="1"/>
  <c r="CG24" i="1"/>
  <c r="CG19" i="1" l="1"/>
  <c r="CH24" i="1"/>
  <c r="CG17" i="1" l="1"/>
  <c r="CG18" i="1" l="1"/>
  <c r="CG20" i="1" s="1"/>
  <c r="CG21" i="1" l="1"/>
  <c r="CG22" i="1"/>
  <c r="CH19" i="1"/>
  <c r="CH17" i="1" l="1"/>
  <c r="CH18" i="1" l="1"/>
  <c r="CH20" i="1" s="1"/>
  <c r="CH21" i="1" l="1"/>
  <c r="CH22" i="1" s="1"/>
  <c r="CI24" i="1" l="1"/>
  <c r="CI19" i="1" l="1"/>
  <c r="CI17" i="1" l="1"/>
  <c r="CI18" i="1" l="1"/>
  <c r="CI20" i="1" s="1"/>
  <c r="CI21" i="1" l="1"/>
  <c r="CI22" i="1"/>
  <c r="CJ24" i="1" l="1"/>
  <c r="CJ19" i="1" l="1"/>
  <c r="CJ17" i="1" l="1"/>
  <c r="CJ18" i="1" l="1"/>
  <c r="CJ20" i="1" s="1"/>
  <c r="CJ21" i="1" l="1"/>
  <c r="CJ22" i="1"/>
  <c r="CK24" i="1" l="1"/>
  <c r="CK19" i="1" l="1"/>
  <c r="CK17" i="1" l="1"/>
  <c r="CL24" i="1" l="1"/>
  <c r="CK18" i="1" l="1"/>
  <c r="CK20" i="1" s="1"/>
  <c r="CK21" i="1" l="1"/>
  <c r="CK22" i="1"/>
  <c r="CL19" i="1" l="1"/>
  <c r="CL17" i="1" l="1"/>
  <c r="CM24" i="1" l="1"/>
  <c r="CL18" i="1" l="1"/>
  <c r="CL20" i="1" s="1"/>
  <c r="CL21" i="1" l="1"/>
  <c r="CL22" i="1" s="1"/>
  <c r="CM19" i="1" l="1"/>
  <c r="CM17" i="1" l="1"/>
  <c r="CM18" i="1" l="1"/>
  <c r="CM20" i="1" s="1"/>
  <c r="CM21" i="1" l="1"/>
  <c r="CM22" i="1"/>
  <c r="CN24" i="1" l="1"/>
  <c r="CN19" i="1" l="1"/>
  <c r="CN17" i="1" l="1"/>
  <c r="CN18" i="1" l="1"/>
  <c r="CN20" i="1" s="1"/>
  <c r="CN21" i="1" l="1"/>
  <c r="CN22" i="1"/>
  <c r="CO24" i="1" l="1"/>
  <c r="CO19" i="1" l="1"/>
  <c r="CO17" i="1" l="1"/>
  <c r="CO18" i="1" l="1"/>
  <c r="CO20" i="1" s="1"/>
  <c r="CO21" i="1" l="1"/>
  <c r="CO22" i="1"/>
  <c r="CP24" i="1" l="1"/>
  <c r="CP19" i="1" l="1"/>
  <c r="CP17" i="1" l="1"/>
  <c r="CP18" i="1" l="1"/>
  <c r="CP20" i="1" s="1"/>
  <c r="CP21" i="1" l="1"/>
  <c r="CP22" i="1"/>
  <c r="CQ24" i="1" l="1"/>
  <c r="CQ19" i="1" l="1"/>
  <c r="CQ17" i="1" l="1"/>
  <c r="CQ18" i="1" l="1"/>
  <c r="CQ20" i="1" s="1"/>
  <c r="CQ21" i="1" l="1"/>
  <c r="CQ22" i="1" s="1"/>
  <c r="CR24" i="1" l="1"/>
  <c r="CR19" i="1" l="1"/>
  <c r="CR17" i="1" l="1"/>
  <c r="CR18" i="1" l="1"/>
  <c r="CR20" i="1" s="1"/>
  <c r="CR21" i="1" l="1"/>
  <c r="CR22" i="1"/>
  <c r="CS24" i="1" l="1"/>
  <c r="CS19" i="1" l="1"/>
  <c r="CS17" i="1" l="1"/>
  <c r="CS18" i="1" l="1"/>
  <c r="CS20" i="1" s="1"/>
  <c r="CS21" i="1" l="1"/>
  <c r="CS22" i="1"/>
  <c r="CT24" i="1" l="1"/>
  <c r="CT19" i="1" l="1"/>
  <c r="CT17" i="1" l="1"/>
  <c r="CT18" i="1" l="1"/>
  <c r="CT20" i="1" s="1"/>
  <c r="CT21" i="1" l="1"/>
  <c r="CT22" i="1"/>
  <c r="CU24" i="1" l="1"/>
  <c r="CU19" i="1" l="1"/>
  <c r="CU17" i="1" l="1"/>
  <c r="CU18" i="1" l="1"/>
  <c r="CU20" i="1" s="1"/>
  <c r="CV24" i="1"/>
  <c r="CU21" i="1" l="1"/>
  <c r="CU22" i="1" s="1"/>
  <c r="CV19" i="1" l="1"/>
  <c r="CV17" i="1" l="1"/>
  <c r="CV18" i="1" l="1"/>
  <c r="CV20" i="1" s="1"/>
  <c r="CV21" i="1" l="1"/>
  <c r="CV22" i="1" s="1"/>
  <c r="CW24" i="1"/>
  <c r="CW19" i="1" l="1"/>
  <c r="CW17" i="1" l="1"/>
  <c r="CW18" i="1" l="1"/>
  <c r="CW20" i="1" s="1"/>
  <c r="CW21" i="1" l="1"/>
  <c r="CW22" i="1"/>
  <c r="CX24" i="1" l="1"/>
  <c r="CX19" i="1" l="1"/>
  <c r="CX17" i="1" l="1"/>
  <c r="CX18" i="1" l="1"/>
  <c r="CX20" i="1" s="1"/>
  <c r="CX21" i="1" l="1"/>
  <c r="CX22" i="1"/>
  <c r="CY24" i="1" l="1"/>
  <c r="CY19" i="1" l="1"/>
  <c r="CY17" i="1" l="1"/>
  <c r="CY18" i="1" l="1"/>
  <c r="CY20" i="1" s="1"/>
  <c r="CY21" i="1" l="1"/>
  <c r="CY22" i="1"/>
  <c r="CZ24" i="1" l="1"/>
  <c r="CZ19" i="1" l="1"/>
  <c r="CZ17" i="1" l="1"/>
  <c r="CZ18" i="1" l="1"/>
  <c r="CZ20" i="1" s="1"/>
  <c r="CZ21" i="1" l="1"/>
  <c r="CZ22" i="1"/>
  <c r="DA24" i="1" l="1"/>
  <c r="DA19" i="1" l="1"/>
  <c r="DA17" i="1" l="1"/>
  <c r="DA18" i="1" l="1"/>
  <c r="DA20" i="1" s="1"/>
  <c r="DA21" i="1" l="1"/>
  <c r="DA22" i="1" s="1"/>
  <c r="DB24" i="1" l="1"/>
  <c r="DB19" i="1" l="1"/>
  <c r="DB17" i="1" l="1"/>
  <c r="DB18" i="1" l="1"/>
  <c r="DB20" i="1" s="1"/>
  <c r="DB21" i="1" l="1"/>
  <c r="DB22" i="1" s="1"/>
  <c r="DC24" i="1" l="1"/>
  <c r="DC19" i="1" l="1"/>
  <c r="DC17" i="1" l="1"/>
  <c r="DC18" i="1" l="1"/>
  <c r="DC20" i="1" s="1"/>
  <c r="DC21" i="1" l="1"/>
  <c r="DC22" i="1"/>
  <c r="AL17" i="1" l="1"/>
  <c r="DD24" i="1" l="1"/>
  <c r="AK17" i="1"/>
  <c r="AK14" i="1" l="1"/>
  <c r="AK16" i="1" s="1"/>
  <c r="AL14" i="1"/>
  <c r="AL16" i="1" s="1"/>
  <c r="AL18" i="1" l="1"/>
  <c r="AL20" i="1" s="1"/>
  <c r="AK18" i="1"/>
  <c r="AK20" i="1" s="1"/>
  <c r="AK21" i="1" l="1"/>
  <c r="AK22" i="1"/>
  <c r="AL21" i="1"/>
  <c r="AL22" i="1" s="1"/>
  <c r="DD19" i="1" l="1"/>
  <c r="DD17" i="1" l="1"/>
  <c r="DD18" i="1" l="1"/>
  <c r="DD20" i="1" s="1"/>
  <c r="DD21" i="1" l="1"/>
  <c r="DD22" i="1" s="1"/>
  <c r="AM17" i="1"/>
  <c r="AK23" i="1"/>
  <c r="AK25" i="1" l="1"/>
  <c r="AK27" i="1" s="1"/>
  <c r="DE24" i="1"/>
  <c r="AL23" i="1"/>
  <c r="AL25" i="1" l="1"/>
  <c r="AL27" i="1" s="1"/>
  <c r="AM14" i="1"/>
  <c r="AM16" i="1" s="1"/>
  <c r="C5" i="2" l="1"/>
  <c r="AM18" i="1"/>
  <c r="AM20" i="1" s="1"/>
  <c r="AM21" i="1" l="1"/>
  <c r="AM22" i="1" s="1"/>
  <c r="DE19" i="1" l="1"/>
  <c r="DE17" i="1" l="1"/>
  <c r="DE18" i="1" l="1"/>
  <c r="DE20" i="1" s="1"/>
  <c r="DE21" i="1" l="1"/>
  <c r="DE22" i="1"/>
  <c r="AM23" i="1"/>
  <c r="AM25" i="1" l="1"/>
  <c r="AM27" i="1" s="1"/>
  <c r="AN23" i="1"/>
  <c r="AN25" i="1" l="1"/>
  <c r="AN27" i="1" s="1"/>
  <c r="AO23" i="1"/>
  <c r="AO25" i="1" l="1"/>
  <c r="AO27" i="1" s="1"/>
  <c r="AP23" i="1"/>
  <c r="DF24" i="1"/>
  <c r="AP25" i="1" l="1"/>
  <c r="AP27" i="1" s="1"/>
  <c r="AQ23" i="1"/>
  <c r="AQ25" i="1" l="1"/>
  <c r="AQ27" i="1" s="1"/>
  <c r="AR23" i="1"/>
  <c r="AR25" i="1" l="1"/>
  <c r="AR27" i="1" s="1"/>
  <c r="AS23" i="1"/>
  <c r="AS25" i="1" l="1"/>
  <c r="AS27" i="1" s="1"/>
  <c r="DF19" i="1"/>
  <c r="AT23" i="1"/>
  <c r="AT25" i="1" l="1"/>
  <c r="AT27" i="1" s="1"/>
  <c r="AU23" i="1"/>
  <c r="AU25" i="1" l="1"/>
  <c r="AU27" i="1" s="1"/>
  <c r="DF17" i="1"/>
  <c r="AV23" i="1"/>
  <c r="AV25" i="1" l="1"/>
  <c r="AV27" i="1" s="1"/>
  <c r="AW23" i="1"/>
  <c r="AW25" i="1" l="1"/>
  <c r="AW27" i="1" s="1"/>
  <c r="DF18" i="1"/>
  <c r="DF20" i="1" s="1"/>
  <c r="AX23" i="1"/>
  <c r="AX25" i="1" l="1"/>
  <c r="AX27" i="1" s="1"/>
  <c r="DF21" i="1"/>
  <c r="DF22" i="1"/>
  <c r="AY23" i="1"/>
  <c r="AY25" i="1" l="1"/>
  <c r="AY27" i="1" s="1"/>
  <c r="AZ23" i="1"/>
  <c r="AZ25" i="1" l="1"/>
  <c r="AZ27" i="1" s="1"/>
  <c r="BA23" i="1"/>
  <c r="BA25" i="1" l="1"/>
  <c r="BA27" i="1" s="1"/>
  <c r="BB23" i="1"/>
  <c r="BB25" i="1" l="1"/>
  <c r="BB27" i="1" s="1"/>
  <c r="BC23" i="1"/>
  <c r="DG24" i="1"/>
  <c r="BC25" i="1" l="1"/>
  <c r="BC27" i="1" s="1"/>
  <c r="BD23" i="1"/>
  <c r="BD25" i="1" l="1"/>
  <c r="BD27" i="1" s="1"/>
  <c r="BE23" i="1"/>
  <c r="BE25" i="1" l="1"/>
  <c r="BE27" i="1" s="1"/>
  <c r="BF23" i="1"/>
  <c r="BF25" i="1" l="1"/>
  <c r="BF27" i="1" s="1"/>
  <c r="BG23" i="1"/>
  <c r="DG19" i="1"/>
  <c r="BG25" i="1" l="1"/>
  <c r="BG27" i="1" s="1"/>
  <c r="BH23" i="1"/>
  <c r="BH25" i="1" l="1"/>
  <c r="BH27" i="1" s="1"/>
  <c r="BI23" i="1"/>
  <c r="BI25" i="1" l="1"/>
  <c r="BI27" i="1" s="1"/>
  <c r="BJ23" i="1"/>
  <c r="BJ25" i="1" l="1"/>
  <c r="BJ27" i="1" s="1"/>
  <c r="BK23" i="1"/>
  <c r="BK25" i="1" l="1"/>
  <c r="BK27" i="1" s="1"/>
  <c r="DG17" i="1"/>
  <c r="DG18" i="1" s="1"/>
  <c r="BL23" i="1"/>
  <c r="BL25" i="1" l="1"/>
  <c r="BL27" i="1" s="1"/>
  <c r="C6" i="2"/>
  <c r="DG20" i="1"/>
  <c r="BM23" i="1"/>
  <c r="BM25" i="1" l="1"/>
  <c r="BM27" i="1" s="1"/>
  <c r="C7" i="2"/>
  <c r="DG21" i="1"/>
  <c r="BN23" i="1"/>
  <c r="BN25" i="1" l="1"/>
  <c r="BN27" i="1" s="1"/>
  <c r="DG22" i="1"/>
  <c r="BO23" i="1"/>
  <c r="BO25" i="1" l="1"/>
  <c r="BO27" i="1" s="1"/>
  <c r="BP23" i="1"/>
  <c r="BP25" i="1" l="1"/>
  <c r="BP27" i="1" s="1"/>
  <c r="BQ23" i="1"/>
  <c r="BQ25" i="1" l="1"/>
  <c r="BQ27" i="1" s="1"/>
  <c r="BR23" i="1"/>
  <c r="BR25" i="1" l="1"/>
  <c r="BR27" i="1" s="1"/>
  <c r="BS23" i="1"/>
  <c r="BS25" i="1" l="1"/>
  <c r="BS27" i="1" s="1"/>
  <c r="BT23" i="1"/>
  <c r="BT25" i="1" l="1"/>
  <c r="BT27" i="1" s="1"/>
  <c r="BU23" i="1"/>
  <c r="BU25" i="1" l="1"/>
  <c r="BU27" i="1" s="1"/>
  <c r="BV23" i="1"/>
  <c r="BV25" i="1" l="1"/>
  <c r="BV27" i="1" s="1"/>
  <c r="BW23" i="1"/>
  <c r="BW25" i="1" l="1"/>
  <c r="BW27" i="1" s="1"/>
  <c r="BX23" i="1"/>
  <c r="BX25" i="1" l="1"/>
  <c r="BX27" i="1" s="1"/>
  <c r="BY23" i="1"/>
  <c r="BY25" i="1" l="1"/>
  <c r="BY27" i="1" s="1"/>
  <c r="BZ23" i="1"/>
  <c r="BZ25" i="1" l="1"/>
  <c r="BZ27" i="1" s="1"/>
  <c r="CA23" i="1"/>
  <c r="CA25" i="1" l="1"/>
  <c r="CA27" i="1" s="1"/>
  <c r="CB23" i="1"/>
  <c r="CB25" i="1" l="1"/>
  <c r="CB27" i="1" s="1"/>
  <c r="CC23" i="1"/>
  <c r="CC25" i="1" l="1"/>
  <c r="CC27" i="1" s="1"/>
  <c r="CD23" i="1"/>
  <c r="CD25" i="1" l="1"/>
  <c r="CD27" i="1" s="1"/>
  <c r="CE23" i="1"/>
  <c r="CE25" i="1" l="1"/>
  <c r="CE27" i="1" s="1"/>
  <c r="CF23" i="1"/>
  <c r="CF25" i="1" l="1"/>
  <c r="CF27" i="1" s="1"/>
  <c r="CG23" i="1"/>
  <c r="CG25" i="1" l="1"/>
  <c r="CG27" i="1" s="1"/>
  <c r="CH23" i="1"/>
  <c r="CH25" i="1" l="1"/>
  <c r="CH27" i="1" s="1"/>
  <c r="CI23" i="1"/>
  <c r="CI25" i="1" l="1"/>
  <c r="CI27" i="1" s="1"/>
  <c r="CJ23" i="1"/>
  <c r="CJ25" i="1" l="1"/>
  <c r="CJ27" i="1" s="1"/>
  <c r="CK23" i="1"/>
  <c r="CK25" i="1" l="1"/>
  <c r="CK27" i="1" s="1"/>
  <c r="CL23" i="1"/>
  <c r="CL25" i="1" l="1"/>
  <c r="CL27" i="1" s="1"/>
  <c r="CM23" i="1"/>
  <c r="CM25" i="1" l="1"/>
  <c r="CM27" i="1" s="1"/>
  <c r="CN23" i="1"/>
  <c r="CN25" i="1" l="1"/>
  <c r="CN27" i="1" s="1"/>
  <c r="CO23" i="1"/>
  <c r="CO25" i="1" l="1"/>
  <c r="CO27" i="1" s="1"/>
  <c r="CP23" i="1"/>
  <c r="CP25" i="1" l="1"/>
  <c r="CP27" i="1" s="1"/>
  <c r="CQ23" i="1"/>
  <c r="CQ25" i="1" l="1"/>
  <c r="CQ27" i="1" s="1"/>
  <c r="CR23" i="1"/>
  <c r="CR25" i="1" l="1"/>
  <c r="CR27" i="1" s="1"/>
  <c r="CS23" i="1"/>
  <c r="CS25" i="1" l="1"/>
  <c r="CS27" i="1" s="1"/>
  <c r="CT23" i="1"/>
  <c r="CT25" i="1" l="1"/>
  <c r="CT27" i="1" s="1"/>
  <c r="CU23" i="1"/>
  <c r="CU25" i="1" l="1"/>
  <c r="CU27" i="1" s="1"/>
  <c r="CV23" i="1"/>
  <c r="CV25" i="1" l="1"/>
  <c r="CV27" i="1" s="1"/>
  <c r="CW23" i="1"/>
  <c r="CW25" i="1" l="1"/>
  <c r="CW27" i="1" s="1"/>
  <c r="CX23" i="1"/>
  <c r="CX25" i="1" l="1"/>
  <c r="CX27" i="1" s="1"/>
  <c r="CY23" i="1"/>
  <c r="CY25" i="1" l="1"/>
  <c r="CY27" i="1" s="1"/>
  <c r="CZ23" i="1"/>
  <c r="CZ25" i="1" l="1"/>
  <c r="CZ27" i="1" s="1"/>
  <c r="DA23" i="1"/>
  <c r="DA25" i="1" l="1"/>
  <c r="DA27" i="1" s="1"/>
  <c r="DB23" i="1"/>
  <c r="DB25" i="1" l="1"/>
  <c r="DB27" i="1" s="1"/>
  <c r="DC23" i="1"/>
  <c r="DC25" i="1" l="1"/>
  <c r="DC27" i="1" s="1"/>
  <c r="DD23" i="1"/>
  <c r="DD25" i="1" l="1"/>
  <c r="DD27" i="1" s="1"/>
  <c r="DE23" i="1"/>
  <c r="DE25" i="1" l="1"/>
  <c r="DE27" i="1" s="1"/>
  <c r="DG23" i="1"/>
  <c r="DG25" i="1" s="1"/>
  <c r="DF23" i="1"/>
  <c r="DF25" i="1" l="1"/>
  <c r="DF27" i="1" s="1"/>
  <c r="C8" i="2"/>
  <c r="C9" i="2" l="1"/>
  <c r="DG26" i="1" l="1"/>
  <c r="DG27" i="1" s="1"/>
  <c r="G28" i="1" s="1"/>
</calcChain>
</file>

<file path=xl/sharedStrings.xml><?xml version="1.0" encoding="utf-8"?>
<sst xmlns="http://schemas.openxmlformats.org/spreadsheetml/2006/main" count="220" uniqueCount="183">
  <si>
    <t>EBITDA</t>
  </si>
  <si>
    <t>Амортизация</t>
  </si>
  <si>
    <t>EBIT</t>
  </si>
  <si>
    <t>Налог на EBIT</t>
  </si>
  <si>
    <t>NOPLAT</t>
  </si>
  <si>
    <t>Изменения в оборотном  капитале</t>
  </si>
  <si>
    <t>Капитальные вложения и капитализированные расходы</t>
  </si>
  <si>
    <t>FCFF</t>
  </si>
  <si>
    <t>Терминальный поток</t>
  </si>
  <si>
    <t>Итого FCFF</t>
  </si>
  <si>
    <t>Checks</t>
  </si>
  <si>
    <t>Category</t>
  </si>
  <si>
    <t>Production</t>
  </si>
  <si>
    <t>Netback Price</t>
  </si>
  <si>
    <t>Revenue</t>
  </si>
  <si>
    <t>Gas consumption</t>
  </si>
  <si>
    <t>Gas price</t>
  </si>
  <si>
    <t>Units</t>
  </si>
  <si>
    <t>4Q 2019</t>
  </si>
  <si>
    <t>1Q 2020</t>
  </si>
  <si>
    <t>2Q 2020</t>
  </si>
  <si>
    <t>3Q 2020</t>
  </si>
  <si>
    <t>4Q 2020</t>
  </si>
  <si>
    <t>1Q 2021</t>
  </si>
  <si>
    <t>2Q 2021</t>
  </si>
  <si>
    <t>3Q 2021</t>
  </si>
  <si>
    <t>4Q 2021</t>
  </si>
  <si>
    <t>1Q 2022</t>
  </si>
  <si>
    <t>2Q 2022</t>
  </si>
  <si>
    <t>3Q 2022</t>
  </si>
  <si>
    <t>4Q 2022</t>
  </si>
  <si>
    <t>1Q 2023</t>
  </si>
  <si>
    <t>2Q 2023</t>
  </si>
  <si>
    <t>3Q 2023</t>
  </si>
  <si>
    <t>4Q 2023</t>
  </si>
  <si>
    <t>1Q 2024</t>
  </si>
  <si>
    <t>2Q 2024</t>
  </si>
  <si>
    <t>3Q 2024</t>
  </si>
  <si>
    <t>4Q 2024</t>
  </si>
  <si>
    <t>1Q 2025</t>
  </si>
  <si>
    <t>2Q 2025</t>
  </si>
  <si>
    <t>3Q 2025</t>
  </si>
  <si>
    <t>4Q 2025</t>
  </si>
  <si>
    <t>1Q 2026</t>
  </si>
  <si>
    <t>2Q 2026</t>
  </si>
  <si>
    <t>3Q 2026</t>
  </si>
  <si>
    <t>4Q 2026</t>
  </si>
  <si>
    <t>1Q 2027</t>
  </si>
  <si>
    <t>2Q 2027</t>
  </si>
  <si>
    <t>3Q 2027</t>
  </si>
  <si>
    <t>4Q 2027</t>
  </si>
  <si>
    <t>1Q 2028</t>
  </si>
  <si>
    <t>2Q 2028</t>
  </si>
  <si>
    <t>3Q 2028</t>
  </si>
  <si>
    <t>4Q 2028</t>
  </si>
  <si>
    <t>1Q 2029</t>
  </si>
  <si>
    <t>2Q 2029</t>
  </si>
  <si>
    <t>3Q 2029</t>
  </si>
  <si>
    <t>4Q 2029</t>
  </si>
  <si>
    <t>1Q 2030</t>
  </si>
  <si>
    <t>2Q 2030</t>
  </si>
  <si>
    <t>3Q 2030</t>
  </si>
  <si>
    <t>4Q 2030</t>
  </si>
  <si>
    <t>1Q 2031</t>
  </si>
  <si>
    <t>2Q 2031</t>
  </si>
  <si>
    <t>3Q 2031</t>
  </si>
  <si>
    <t>4Q 2031</t>
  </si>
  <si>
    <t>1Q 2032</t>
  </si>
  <si>
    <t>2Q 2032</t>
  </si>
  <si>
    <t>3Q 2032</t>
  </si>
  <si>
    <t>4Q 2032</t>
  </si>
  <si>
    <t>1Q 2033</t>
  </si>
  <si>
    <t>2Q 2033</t>
  </si>
  <si>
    <t>3Q 2033</t>
  </si>
  <si>
    <t>4Q 2033</t>
  </si>
  <si>
    <t>1Q 2034</t>
  </si>
  <si>
    <t>2Q 2034</t>
  </si>
  <si>
    <t>3Q 2034</t>
  </si>
  <si>
    <t>4Q 2034</t>
  </si>
  <si>
    <t>1Q 2035</t>
  </si>
  <si>
    <t>2Q 2035</t>
  </si>
  <si>
    <t>3Q 2035</t>
  </si>
  <si>
    <t>4Q 2035</t>
  </si>
  <si>
    <t>1Q 2036</t>
  </si>
  <si>
    <t>2Q 2036</t>
  </si>
  <si>
    <t>3Q 2036</t>
  </si>
  <si>
    <t>4Q 2036</t>
  </si>
  <si>
    <t>1Q 2037</t>
  </si>
  <si>
    <t>2Q 2037</t>
  </si>
  <si>
    <t>3Q 2037</t>
  </si>
  <si>
    <t>4Q 2037</t>
  </si>
  <si>
    <t>1Q 2038</t>
  </si>
  <si>
    <t>2Q 2038</t>
  </si>
  <si>
    <t>3Q 2038</t>
  </si>
  <si>
    <t>4Q 2038</t>
  </si>
  <si>
    <t>1Q 2039</t>
  </si>
  <si>
    <t>2Q 2039</t>
  </si>
  <si>
    <t>3Q 2039</t>
  </si>
  <si>
    <t>4Q 2039</t>
  </si>
  <si>
    <t>1Q 2040</t>
  </si>
  <si>
    <t>2Q 2040</t>
  </si>
  <si>
    <t>3Q 2040</t>
  </si>
  <si>
    <t>4Q 2040</t>
  </si>
  <si>
    <t>1Q 2041</t>
  </si>
  <si>
    <t>2Q 2041</t>
  </si>
  <si>
    <t>3Q 2041</t>
  </si>
  <si>
    <t>4Q 2041</t>
  </si>
  <si>
    <t>1Q 2042</t>
  </si>
  <si>
    <t>2Q 2042</t>
  </si>
  <si>
    <t>3Q 2042</t>
  </si>
  <si>
    <t>4Q 2042</t>
  </si>
  <si>
    <t>1Q 2043</t>
  </si>
  <si>
    <t>2Q 2043</t>
  </si>
  <si>
    <t>3Q 2043</t>
  </si>
  <si>
    <t>4Q 2043</t>
  </si>
  <si>
    <t>1Q 2044</t>
  </si>
  <si>
    <t>2Q 2044</t>
  </si>
  <si>
    <t>3Q 2044</t>
  </si>
  <si>
    <t>4Q 2044</t>
  </si>
  <si>
    <t>1Q 2045</t>
  </si>
  <si>
    <t>2Q 2045</t>
  </si>
  <si>
    <t>3Q 2045</t>
  </si>
  <si>
    <t>4Q 2045</t>
  </si>
  <si>
    <t>Gas cost</t>
  </si>
  <si>
    <t>ths tons</t>
  </si>
  <si>
    <t>ths usd</t>
  </si>
  <si>
    <t>rub / ths m3</t>
  </si>
  <si>
    <t>m3 / t</t>
  </si>
  <si>
    <t>usd / t</t>
  </si>
  <si>
    <t>rub/usd</t>
  </si>
  <si>
    <t>Catalysts cost</t>
  </si>
  <si>
    <t>Personnel cost</t>
  </si>
  <si>
    <t>Current repairs cost</t>
  </si>
  <si>
    <t>Total Opex</t>
  </si>
  <si>
    <t>Administrative cost</t>
  </si>
  <si>
    <t>Profit Tax Rate</t>
  </si>
  <si>
    <t>%</t>
  </si>
  <si>
    <t>Exchange rate</t>
  </si>
  <si>
    <t>Timeline</t>
  </si>
  <si>
    <t>x</t>
  </si>
  <si>
    <t>IRR</t>
  </si>
  <si>
    <t>Const</t>
  </si>
  <si>
    <t>Production*Netback Price</t>
  </si>
  <si>
    <t>-Gas consumption*Production*Gas price/Exchange rate/1000</t>
  </si>
  <si>
    <t>Gas cost+Catalysts cost+Personnel cost+Current repairs cost</t>
  </si>
  <si>
    <t>Revenue+Total Opex+Administrative cost</t>
  </si>
  <si>
    <t>EBITDA+Амортизация</t>
  </si>
  <si>
    <t>EBIT-Налог на EBIT</t>
  </si>
  <si>
    <t>FCFF+Терминальный поток</t>
  </si>
  <si>
    <t>Formula</t>
  </si>
  <si>
    <t>IF(EBIT&lt;0,0,EBIT*Profit Tax Rate)</t>
  </si>
  <si>
    <t>XIRR(Итого FCFF,Timeline,0)</t>
  </si>
  <si>
    <t>NOPLAT-Амортизация+Изменения в оборотном  капитале+Капитальные вложения и капитализированные расходы</t>
  </si>
  <si>
    <t>What the macro does — in plain English</t>
  </si>
  <si>
    <t>1. Scans each model row</t>
  </si>
  <si>
    <t>Starting at row 4, it walks down column G (where your values/formulas live) until the last named row in column B.</t>
  </si>
  <si>
    <t>2. Classifies the row</t>
  </si>
  <si>
    <r>
      <t xml:space="preserve">If the cell is </t>
    </r>
    <r>
      <rPr>
        <b/>
        <sz val="11"/>
        <color theme="1"/>
        <rFont val="Calibri"/>
        <family val="2"/>
        <scheme val="minor"/>
      </rPr>
      <t>a pure number or text</t>
    </r>
    <r>
      <rPr>
        <sz val="11"/>
        <color theme="1"/>
        <rFont val="Calibri"/>
        <family val="2"/>
        <scheme val="minor"/>
      </rPr>
      <t xml:space="preserve">, it labels the row </t>
    </r>
    <r>
      <rPr>
        <b/>
        <sz val="11"/>
        <color theme="1"/>
        <rFont val="Calibri"/>
        <family val="2"/>
        <scheme val="minor"/>
      </rPr>
      <t>“Const”</t>
    </r>
    <r>
      <rPr>
        <sz val="11"/>
        <color theme="1"/>
        <rFont val="Calibri"/>
        <family val="2"/>
        <scheme val="minor"/>
      </rPr>
      <t xml:space="preserve"> in column D.</t>
    </r>
  </si>
  <si>
    <r>
      <t xml:space="preserve">If the cell contains </t>
    </r>
    <r>
      <rPr>
        <b/>
        <sz val="11"/>
        <color theme="1"/>
        <rFont val="Calibri"/>
        <family val="2"/>
        <scheme val="minor"/>
      </rPr>
      <t>an external file reference</t>
    </r>
    <r>
      <rPr>
        <sz val="11"/>
        <color theme="1"/>
        <rFont val="Calibri"/>
        <family val="2"/>
        <scheme val="minor"/>
      </rPr>
      <t xml:space="preserve"> (</t>
    </r>
    <r>
      <rPr>
        <sz val="10"/>
        <color theme="1"/>
        <rFont val="Arial Unicode MS"/>
      </rPr>
      <t>[Book.xlsx]</t>
    </r>
    <r>
      <rPr>
        <sz val="11"/>
        <color theme="1"/>
        <rFont val="Calibri"/>
        <family val="2"/>
        <scheme val="minor"/>
      </rPr>
      <t xml:space="preserve">) </t>
    </r>
    <r>
      <rPr>
        <b/>
        <sz val="11"/>
        <color theme="1"/>
        <rFont val="Calibri"/>
        <family val="2"/>
        <scheme val="minor"/>
      </rPr>
      <t>or another sheet’s reference</t>
    </r>
    <r>
      <rPr>
        <sz val="11"/>
        <color theme="1"/>
        <rFont val="Calibri"/>
        <family val="2"/>
        <scheme val="minor"/>
      </rPr>
      <t xml:space="preserve"> (</t>
    </r>
    <r>
      <rPr>
        <sz val="10"/>
        <color theme="1"/>
        <rFont val="Arial Unicode MS"/>
      </rPr>
      <t>Sheet2!C5</t>
    </r>
    <r>
      <rPr>
        <sz val="11"/>
        <color theme="1"/>
        <rFont val="Calibri"/>
        <family val="2"/>
        <scheme val="minor"/>
      </rPr>
      <t xml:space="preserve">), it also writes </t>
    </r>
    <r>
      <rPr>
        <b/>
        <sz val="11"/>
        <color theme="1"/>
        <rFont val="Calibri"/>
        <family val="2"/>
        <scheme val="minor"/>
      </rPr>
      <t>“Const”</t>
    </r>
    <r>
      <rPr>
        <sz val="11"/>
        <color theme="1"/>
        <rFont val="Calibri"/>
        <family val="2"/>
        <scheme val="minor"/>
      </rPr>
      <t>.</t>
    </r>
  </si>
  <si>
    <r>
      <t xml:space="preserve">Otherwise, it treats the cell as a </t>
    </r>
    <r>
      <rPr>
        <b/>
        <sz val="11"/>
        <color theme="1"/>
        <rFont val="Calibri"/>
        <family val="2"/>
        <scheme val="minor"/>
      </rPr>
      <t>local formula</t>
    </r>
    <r>
      <rPr>
        <sz val="11"/>
        <color theme="1"/>
        <rFont val="Calibri"/>
        <family val="2"/>
        <scheme val="minor"/>
      </rPr>
      <t xml:space="preserve"> that needs to be decoded.</t>
    </r>
  </si>
  <si>
    <t>3. Decodes local formulas into readable logic</t>
  </si>
  <si>
    <r>
      <t xml:space="preserve">Strips the leading </t>
    </r>
    <r>
      <rPr>
        <sz val="10"/>
        <color theme="1"/>
        <rFont val="Arial Unicode MS"/>
      </rPr>
      <t>=</t>
    </r>
    <r>
      <rPr>
        <sz val="11"/>
        <color theme="1"/>
        <rFont val="Calibri"/>
        <family val="2"/>
        <scheme val="minor"/>
      </rPr>
      <t xml:space="preserve"> from the formula string.</t>
    </r>
  </si>
  <si>
    <r>
      <t xml:space="preserve">Uses a compiled regular-expression pattern to find every cell reference such as </t>
    </r>
    <r>
      <rPr>
        <sz val="10"/>
        <color theme="1"/>
        <rFont val="Arial Unicode MS"/>
      </rPr>
      <t>C10</t>
    </r>
    <r>
      <rPr>
        <sz val="11"/>
        <color theme="1"/>
        <rFont val="Calibri"/>
        <family val="2"/>
        <scheme val="minor"/>
      </rPr>
      <t xml:space="preserve"> or </t>
    </r>
    <r>
      <rPr>
        <sz val="10"/>
        <color theme="1"/>
        <rFont val="Arial Unicode MS"/>
      </rPr>
      <t>$D$7</t>
    </r>
    <r>
      <rPr>
        <sz val="11"/>
        <color theme="1"/>
        <rFont val="Calibri"/>
        <family val="2"/>
        <scheme val="minor"/>
      </rPr>
      <t>.</t>
    </r>
  </si>
  <si>
    <r>
      <t xml:space="preserve">For each reference, looks up the </t>
    </r>
    <r>
      <rPr>
        <b/>
        <sz val="11"/>
        <color theme="1"/>
        <rFont val="Calibri"/>
        <family val="2"/>
        <scheme val="minor"/>
      </rPr>
      <t>row name</t>
    </r>
    <r>
      <rPr>
        <sz val="11"/>
        <color theme="1"/>
        <rFont val="Calibri"/>
        <family val="2"/>
        <scheme val="minor"/>
      </rPr>
      <t xml:space="preserve"> in column B (</t>
    </r>
    <r>
      <rPr>
        <sz val="10"/>
        <color theme="1"/>
        <rFont val="Arial Unicode MS"/>
      </rPr>
      <t>Итого FCFF</t>
    </r>
    <r>
      <rPr>
        <sz val="11"/>
        <color theme="1"/>
        <rFont val="Calibri"/>
        <family val="2"/>
        <scheme val="minor"/>
      </rPr>
      <t xml:space="preserve">, </t>
    </r>
    <r>
      <rPr>
        <sz val="10"/>
        <color theme="1"/>
        <rFont val="Arial Unicode MS"/>
      </rPr>
      <t>Timeline</t>
    </r>
    <r>
      <rPr>
        <sz val="11"/>
        <color theme="1"/>
        <rFont val="Calibri"/>
        <family val="2"/>
        <scheme val="minor"/>
      </rPr>
      <t>, etc.) and swaps the address for that name, working from the last match to the first so replacements never interfere with one another.</t>
    </r>
  </si>
  <si>
    <t>4. Tidies redundant ranges</t>
  </si>
  <si>
    <r>
      <t xml:space="preserve">After swapping, some formulas may show a “name range” like </t>
    </r>
    <r>
      <rPr>
        <sz val="10"/>
        <color theme="1"/>
        <rFont val="Arial Unicode MS"/>
      </rPr>
      <t>Итого FCFF:Итого FCFF</t>
    </r>
    <r>
      <rPr>
        <sz val="11"/>
        <color theme="1"/>
        <rFont val="Calibri"/>
        <family val="2"/>
        <scheme val="minor"/>
      </rPr>
      <t>.</t>
    </r>
  </si>
  <si>
    <r>
      <t>A second regex collapses any identical-name pair (</t>
    </r>
    <r>
      <rPr>
        <sz val="10"/>
        <color theme="1"/>
        <rFont val="Arial Unicode MS"/>
      </rPr>
      <t>Name:Name</t>
    </r>
    <r>
      <rPr>
        <sz val="11"/>
        <color theme="1"/>
        <rFont val="Calibri"/>
        <family val="2"/>
        <scheme val="minor"/>
      </rPr>
      <t xml:space="preserve">) to a single </t>
    </r>
    <r>
      <rPr>
        <sz val="10"/>
        <color theme="1"/>
        <rFont val="Arial Unicode MS"/>
      </rPr>
      <t>Name</t>
    </r>
    <r>
      <rPr>
        <sz val="11"/>
        <color theme="1"/>
        <rFont val="Calibri"/>
        <family val="2"/>
        <scheme val="minor"/>
      </rPr>
      <t>, turning</t>
    </r>
  </si>
  <si>
    <r>
      <t>XIRR(Итого FCFF:Итого FCFF,Timeline:Timeline,0)</t>
    </r>
    <r>
      <rPr>
        <sz val="11"/>
        <color theme="1"/>
        <rFont val="Calibri"/>
        <family val="2"/>
        <scheme val="minor"/>
      </rPr>
      <t xml:space="preserve"> → </t>
    </r>
    <r>
      <rPr>
        <sz val="10"/>
        <color theme="1"/>
        <rFont val="Arial Unicode MS"/>
      </rPr>
      <t>XIRR(Итого FCFF,Timeline,0)</t>
    </r>
    <r>
      <rPr>
        <sz val="11"/>
        <color theme="1"/>
        <rFont val="Calibri"/>
        <family val="2"/>
        <scheme val="minor"/>
      </rPr>
      <t>.</t>
    </r>
  </si>
  <si>
    <r>
      <t>5. Outputs the result</t>
    </r>
    <r>
      <rPr>
        <sz val="11"/>
        <color theme="1"/>
        <rFont val="Calibri"/>
        <family val="2"/>
        <scheme val="minor"/>
      </rPr>
      <t xml:space="preserve"> in column D for the same row.</t>
    </r>
  </si>
  <si>
    <t>6. Runs fast and safely</t>
  </si>
  <si>
    <t>Builds the two RegExp objects once (outside the loop) instead of every row.</t>
  </si>
  <si>
    <t>Temporarily turns off screen updating, automatic calculation, and events during the loop for large-sheet speed.</t>
  </si>
  <si>
    <t>Qualifies every range with the worksheet object so the code never drifts to another sheet.</t>
  </si>
  <si>
    <t>Restores all application settings and shows a completion message—or a friendly error box if something goes wrong.</t>
  </si>
  <si>
    <t>End result</t>
  </si>
  <si>
    <r>
      <t xml:space="preserve">Column D becomes an </t>
    </r>
    <r>
      <rPr>
        <b/>
        <sz val="11"/>
        <color theme="1"/>
        <rFont val="Calibri"/>
        <family val="2"/>
        <scheme val="minor"/>
      </rPr>
      <t>audit trail</t>
    </r>
    <r>
      <rPr>
        <sz val="11"/>
        <color theme="1"/>
        <rFont val="Calibri"/>
        <family val="2"/>
        <scheme val="minor"/>
      </rPr>
      <t>:</t>
    </r>
  </si>
  <si>
    <t>Row name (B)</t>
  </si>
  <si>
    <t>Value/Formula (G)</t>
  </si>
  <si>
    <t>Components (D, produced by macro)</t>
  </si>
  <si>
    <t>Production × Netback Price</t>
  </si>
  <si>
    <t>…</t>
  </si>
  <si>
    <t>XIRR(Итого FCFF, Timeline, 0)</t>
  </si>
  <si>
    <t>=XIRR(G28:DG28,G4:DG4,0)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</si>
</sst>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_);\(#,##0\);\–_)"/>
    <numFmt numFmtId="165" formatCode="#,##0.0%_);\ \(#,##0.0\)%;\–_)"/>
    <numFmt numFmtId="166" formatCode="#,##0.0\x_);\ \(#,##0.0\)\x;\–_)"/>
    <numFmt numFmtId="167" formatCode="0&quot;.&quot;"/>
    <numFmt numFmtId="168" formatCode="#,##0.0_);\(#,##0.0\);\–_)"/>
    <numFmt numFmtId="169" formatCode="_-* #,##0.00_-;\-* #,##0.00_-;_-* &quot;-&quot;??_-;_-@_-"/>
    <numFmt numFmtId="170" formatCode="_-* #,##0.00_р_._-;\-* #,##0.00_р_._-;_-* &quot;-&quot;??_р_._-;_-@_-"/>
    <numFmt numFmtId="171" formatCode="_-* #,##0.00\ _₽_-;\-* #,##0.00\ _₽_-;_-* &quot;-&quot;??\ _₽_-;_-@_-"/>
    <numFmt numFmtId="172" formatCode="0&quot;.&quot;0&quot;.&quot;"/>
    <numFmt numFmtId="173" formatCode="0&quot;.&quot;0&quot;.&quot;0&quot;.&quot;"/>
    <numFmt numFmtId="174" formatCode="#,##0;\(#,##0\);&quot;-&quot;"/>
    <numFmt numFmtId="175" formatCode="0.0%"/>
  </numFmts>
  <fonts count="29">
    <font>
      <sz val="11"/>
      <color theme="1"/>
      <name val="Calibri"/>
      <family val="2"/>
      <scheme val="minor"/>
    </font>
    <font>
      <sz val="10"/>
      <color rgb="FF0070C0"/>
      <name val="Arial"/>
      <family val="2"/>
      <charset val="204"/>
    </font>
    <font>
      <b/>
      <sz val="11"/>
      <color theme="0"/>
      <name val="Arial Cyr"/>
      <charset val="204"/>
    </font>
    <font>
      <b/>
      <sz val="11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5" tint="-0.499984740745262"/>
      <name val="Arial"/>
      <family val="2"/>
      <charset val="204"/>
    </font>
    <font>
      <sz val="10"/>
      <color theme="0" tint="-0.24994659260841701"/>
      <name val="Arial"/>
      <family val="2"/>
      <charset val="204"/>
    </font>
    <font>
      <sz val="10"/>
      <color theme="3"/>
      <name val="Arial"/>
      <family val="2"/>
      <charset val="204"/>
    </font>
    <font>
      <sz val="10"/>
      <color rgb="FFC00000"/>
      <name val="Arial"/>
      <family val="2"/>
      <charset val="204"/>
    </font>
    <font>
      <b/>
      <sz val="14"/>
      <color theme="3"/>
      <name val="Arial"/>
      <family val="2"/>
      <charset val="204"/>
    </font>
    <font>
      <i/>
      <sz val="10"/>
      <color rgb="FFC0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i/>
      <sz val="10"/>
      <color theme="1" tint="0.499984740745262"/>
      <name val="Arial"/>
      <family val="2"/>
      <charset val="204"/>
    </font>
    <font>
      <sz val="11"/>
      <color rgb="FF0070C0"/>
      <name val="Arial"/>
      <family val="2"/>
      <charset val="204"/>
    </font>
    <font>
      <b/>
      <sz val="10"/>
      <color theme="0"/>
      <name val="Arial"/>
      <family val="2"/>
      <charset val="204"/>
    </font>
    <font>
      <b/>
      <sz val="10"/>
      <color theme="3" tint="-0.499984740745262"/>
      <name val="Arial"/>
      <family val="2"/>
      <charset val="204"/>
    </font>
    <font>
      <b/>
      <sz val="11"/>
      <name val="Calibri"/>
      <family val="2"/>
      <charset val="204"/>
      <scheme val="minor"/>
    </font>
    <font>
      <u/>
      <sz val="10"/>
      <color theme="10"/>
      <name val="Arial"/>
      <family val="2"/>
    </font>
    <font>
      <sz val="10"/>
      <color rgb="FF0070C0"/>
      <name val="Arial Narrow"/>
      <family val="2"/>
      <charset val="204"/>
    </font>
    <font>
      <sz val="10"/>
      <color theme="4"/>
      <name val="Arial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3.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Up">
        <fgColor theme="0" tint="-0.34998626667073579"/>
        <bgColor indexed="65"/>
      </patternFill>
    </fill>
    <fill>
      <patternFill patternType="solid">
        <fgColor rgb="FFD04A0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99"/>
        <bgColor indexed="64"/>
      </patternFill>
    </fill>
  </fills>
  <borders count="19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/>
      <bottom style="medium">
        <color theme="3"/>
      </bottom>
      <diagonal/>
    </border>
    <border>
      <left/>
      <right/>
      <top/>
      <bottom style="medium">
        <color theme="3" tint="0.59996337778862885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/>
      <right/>
      <top style="thin">
        <color auto="1"/>
      </top>
      <bottom style="medium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double">
        <color theme="3"/>
      </bottom>
      <diagonal/>
    </border>
    <border>
      <left style="hair">
        <color theme="2" tint="-9.9948118533890809E-2"/>
      </left>
      <right style="hair">
        <color theme="2" tint="-9.9948118533890809E-2"/>
      </right>
      <top style="hair">
        <color theme="2" tint="-9.9948118533890809E-2"/>
      </top>
      <bottom style="hair">
        <color theme="2" tint="-9.9948118533890809E-2"/>
      </bottom>
      <diagonal/>
    </border>
    <border>
      <left style="hair">
        <color theme="3" tint="0.59996337778862885"/>
      </left>
      <right style="hair">
        <color theme="3" tint="0.59996337778862885"/>
      </right>
      <top style="hair">
        <color theme="3" tint="0.59996337778862885"/>
      </top>
      <bottom style="hair">
        <color theme="3" tint="0.59996337778862885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67">
    <xf numFmtId="168" fontId="0" fillId="0" borderId="0" applyNumberFormat="0" applyFont="0" applyFill="0" applyBorder="0" applyAlignment="0" applyProtection="0">
      <alignment vertical="center"/>
    </xf>
    <xf numFmtId="175" fontId="4" fillId="0" borderId="0" applyFill="0" applyBorder="0" applyAlignment="0">
      <alignment vertical="center"/>
    </xf>
    <xf numFmtId="167" fontId="15" fillId="8" borderId="12">
      <alignment vertical="center"/>
    </xf>
    <xf numFmtId="172" fontId="15" fillId="9" borderId="13">
      <alignment vertical="center"/>
    </xf>
    <xf numFmtId="173" fontId="16" fillId="0" borderId="0">
      <alignment vertical="center"/>
    </xf>
    <xf numFmtId="164" fontId="5" fillId="0" borderId="9" applyAlignment="0">
      <alignment horizontal="right" vertical="center"/>
    </xf>
    <xf numFmtId="164" fontId="1" fillId="2" borderId="1">
      <alignment vertical="center"/>
    </xf>
    <xf numFmtId="165" fontId="1" fillId="2" borderId="1">
      <alignment vertical="center"/>
    </xf>
    <xf numFmtId="14" fontId="1" fillId="2" borderId="1">
      <alignment vertical="center"/>
    </xf>
    <xf numFmtId="166" fontId="1" fillId="2" borderId="1">
      <alignment vertical="center"/>
    </xf>
    <xf numFmtId="14" fontId="2" fillId="3" borderId="2" applyNumberFormat="0" applyProtection="0">
      <alignment vertical="center"/>
    </xf>
    <xf numFmtId="0" fontId="3" fillId="4" borderId="3" applyNumberFormat="0" applyAlignment="0"/>
    <xf numFmtId="164" fontId="4" fillId="0" borderId="1">
      <alignment vertical="center"/>
    </xf>
    <xf numFmtId="165" fontId="4" fillId="0" borderId="1">
      <alignment vertical="center"/>
    </xf>
    <xf numFmtId="14" fontId="4" fillId="0" borderId="1">
      <alignment vertical="center"/>
    </xf>
    <xf numFmtId="166" fontId="4" fillId="0" borderId="1">
      <alignment vertical="center"/>
    </xf>
    <xf numFmtId="0" fontId="4" fillId="0" borderId="0" applyBorder="0">
      <alignment vertical="center"/>
    </xf>
    <xf numFmtId="0" fontId="5" fillId="0" borderId="0">
      <alignment vertical="center"/>
    </xf>
    <xf numFmtId="164" fontId="1" fillId="0" borderId="1">
      <alignment vertical="center"/>
    </xf>
    <xf numFmtId="165" fontId="1" fillId="0" borderId="1">
      <alignment vertical="center"/>
    </xf>
    <xf numFmtId="14" fontId="1" fillId="0" borderId="1">
      <alignment vertical="center"/>
    </xf>
    <xf numFmtId="166" fontId="1" fillId="0" borderId="1">
      <alignment vertical="center"/>
    </xf>
    <xf numFmtId="0" fontId="4" fillId="0" borderId="0" applyBorder="0">
      <alignment horizontal="center" vertical="center"/>
    </xf>
    <xf numFmtId="167" fontId="5" fillId="0" borderId="4">
      <alignment horizontal="left" vertical="center"/>
    </xf>
    <xf numFmtId="164" fontId="4" fillId="5" borderId="1">
      <alignment vertical="center"/>
    </xf>
    <xf numFmtId="165" fontId="4" fillId="5" borderId="1">
      <alignment vertical="center"/>
    </xf>
    <xf numFmtId="166" fontId="4" fillId="5" borderId="1">
      <alignment vertical="center"/>
    </xf>
    <xf numFmtId="164" fontId="6" fillId="6" borderId="5">
      <alignment vertical="center"/>
    </xf>
    <xf numFmtId="165" fontId="6" fillId="6" borderId="5">
      <alignment vertical="center"/>
    </xf>
    <xf numFmtId="166" fontId="6" fillId="6" borderId="5">
      <alignment vertical="center"/>
    </xf>
    <xf numFmtId="164" fontId="5" fillId="0" borderId="6">
      <alignment vertical="center"/>
    </xf>
    <xf numFmtId="165" fontId="5" fillId="0" borderId="7">
      <alignment vertical="center"/>
    </xf>
    <xf numFmtId="166" fontId="5" fillId="0" borderId="8">
      <alignment vertical="center"/>
    </xf>
    <xf numFmtId="164" fontId="5" fillId="0" borderId="9">
      <alignment vertical="center"/>
    </xf>
    <xf numFmtId="165" fontId="5" fillId="0" borderId="9">
      <alignment vertical="center"/>
    </xf>
    <xf numFmtId="166" fontId="5" fillId="0" borderId="9" applyAlignment="0">
      <alignment horizontal="right" vertical="center"/>
    </xf>
    <xf numFmtId="0" fontId="7" fillId="0" borderId="0">
      <alignment vertical="center"/>
    </xf>
    <xf numFmtId="14" fontId="8" fillId="0" borderId="1" applyNumberFormat="0" applyAlignment="0">
      <alignment horizontal="center" vertical="center"/>
    </xf>
    <xf numFmtId="164" fontId="9" fillId="0" borderId="1">
      <alignment horizontal="center" vertical="center"/>
    </xf>
    <xf numFmtId="0" fontId="10" fillId="0" borderId="0">
      <alignment vertical="center"/>
    </xf>
    <xf numFmtId="168" fontId="4" fillId="7" borderId="1">
      <alignment vertical="center"/>
    </xf>
    <xf numFmtId="164" fontId="11" fillId="0" borderId="10">
      <alignment horizontal="right" vertical="center"/>
    </xf>
    <xf numFmtId="169" fontId="12" fillId="0" borderId="0" applyFont="0" applyFill="0" applyBorder="0" applyAlignment="0" applyProtection="0"/>
    <xf numFmtId="170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171" fontId="12" fillId="0" borderId="0" applyFont="0" applyFill="0" applyBorder="0" applyAlignment="0" applyProtection="0"/>
    <xf numFmtId="0" fontId="13" fillId="0" borderId="0">
      <alignment horizontal="left" vertical="center"/>
    </xf>
    <xf numFmtId="164" fontId="14" fillId="2" borderId="11" applyNumberFormat="0">
      <alignment horizontal="right" vertical="center"/>
    </xf>
    <xf numFmtId="0" fontId="17" fillId="10" borderId="14" applyNumberFormat="0" applyAlignment="0" applyProtection="0"/>
    <xf numFmtId="167" fontId="5" fillId="0" borderId="15">
      <alignment horizontal="left" vertical="center"/>
    </xf>
    <xf numFmtId="167" fontId="5" fillId="0" borderId="4">
      <alignment horizontal="left" vertical="center"/>
    </xf>
    <xf numFmtId="0" fontId="18" fillId="0" borderId="0" applyNumberFormat="0" applyFill="0" applyBorder="0" applyAlignment="0" applyProtection="0"/>
    <xf numFmtId="0" fontId="12" fillId="11" borderId="16" applyNumberFormat="0" applyAlignment="0" applyProtection="0"/>
    <xf numFmtId="174" fontId="19" fillId="11" borderId="17">
      <alignment horizontal="center" vertical="center"/>
    </xf>
    <xf numFmtId="164" fontId="20" fillId="0" borderId="1">
      <alignment vertical="center"/>
    </xf>
    <xf numFmtId="0" fontId="12" fillId="0" borderId="0"/>
    <xf numFmtId="0" fontId="21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22" fillId="0" borderId="0"/>
    <xf numFmtId="0" fontId="12" fillId="0" borderId="0"/>
    <xf numFmtId="0" fontId="12" fillId="0" borderId="0"/>
    <xf numFmtId="0" fontId="12" fillId="0" borderId="0"/>
    <xf numFmtId="9" fontId="12" fillId="0" borderId="0" applyFont="0" applyFill="0" applyBorder="0" applyAlignment="0" applyProtection="0"/>
    <xf numFmtId="164" fontId="5" fillId="0" borderId="8">
      <alignment horizontal="right" vertical="center"/>
    </xf>
    <xf numFmtId="164" fontId="5" fillId="0" borderId="18">
      <alignment vertical="center"/>
    </xf>
  </cellStyleXfs>
  <cellXfs count="30">
    <xf numFmtId="0" fontId="0" fillId="0" borderId="0" xfId="0" applyNumberFormat="1" applyAlignment="1"/>
    <xf numFmtId="0" fontId="3" fillId="0" borderId="0" xfId="0" applyNumberFormat="1" applyFont="1" applyAlignment="1"/>
    <xf numFmtId="0" fontId="3" fillId="0" borderId="0" xfId="0" applyNumberFormat="1" applyFont="1" applyAlignment="1">
      <alignment horizontal="center"/>
    </xf>
    <xf numFmtId="0" fontId="23" fillId="0" borderId="0" xfId="0" applyNumberFormat="1" applyFont="1" applyAlignment="1"/>
    <xf numFmtId="0" fontId="23" fillId="0" borderId="0" xfId="0" applyNumberFormat="1" applyFont="1" applyAlignment="1">
      <alignment horizontal="center"/>
    </xf>
    <xf numFmtId="37" fontId="23" fillId="0" borderId="0" xfId="0" applyNumberFormat="1" applyFont="1" applyFill="1" applyAlignment="1"/>
    <xf numFmtId="164" fontId="4" fillId="0" borderId="1" xfId="12" applyFont="1" applyAlignment="1">
      <alignment horizontal="center" vertical="center"/>
    </xf>
    <xf numFmtId="164" fontId="4" fillId="0" borderId="1" xfId="12" applyFont="1" applyFill="1" applyAlignment="1">
      <alignment horizontal="center" vertical="center"/>
    </xf>
    <xf numFmtId="168" fontId="4" fillId="0" borderId="1" xfId="12" applyNumberFormat="1" applyFont="1" applyAlignment="1">
      <alignment horizontal="center" vertical="center"/>
    </xf>
    <xf numFmtId="164" fontId="5" fillId="0" borderId="1" xfId="12" applyFont="1" applyFill="1" applyAlignment="1">
      <alignment horizontal="center" vertical="center"/>
    </xf>
    <xf numFmtId="164" fontId="5" fillId="0" borderId="1" xfId="12" applyFont="1" applyAlignment="1">
      <alignment horizontal="center" vertical="center"/>
    </xf>
    <xf numFmtId="175" fontId="4" fillId="0" borderId="1" xfId="1" applyBorder="1" applyAlignment="1">
      <alignment horizontal="center" vertical="center"/>
    </xf>
    <xf numFmtId="14" fontId="4" fillId="0" borderId="1" xfId="12" applyNumberFormat="1" applyFont="1" applyAlignment="1">
      <alignment horizontal="center" vertical="center"/>
    </xf>
    <xf numFmtId="0" fontId="23" fillId="0" borderId="0" xfId="0" quotePrefix="1" applyNumberFormat="1" applyFont="1" applyAlignment="1"/>
    <xf numFmtId="165" fontId="4" fillId="0" borderId="1" xfId="13" applyAlignment="1">
      <alignment horizontal="center" vertical="center"/>
    </xf>
    <xf numFmtId="0" fontId="25" fillId="0" borderId="0" xfId="0" applyNumberFormat="1" applyFont="1" applyAlignment="1">
      <alignment vertical="center"/>
    </xf>
    <xf numFmtId="0" fontId="0" fillId="0" borderId="0" xfId="0" applyNumberFormat="1" applyAlignment="1">
      <alignment horizontal="left" vertical="center" indent="1"/>
    </xf>
    <xf numFmtId="0" fontId="26" fillId="0" borderId="0" xfId="0" applyNumberFormat="1" applyFont="1" applyAlignment="1">
      <alignment horizontal="left" vertical="center" indent="1"/>
    </xf>
    <xf numFmtId="0" fontId="0" fillId="0" borderId="0" xfId="0" applyNumberFormat="1" applyAlignment="1">
      <alignment horizontal="left" vertical="center" indent="2"/>
    </xf>
    <xf numFmtId="0" fontId="27" fillId="0" borderId="0" xfId="0" applyNumberFormat="1" applyFont="1" applyAlignment="1">
      <alignment horizontal="left" vertical="center" indent="2"/>
    </xf>
    <xf numFmtId="0" fontId="28" fillId="0" borderId="0" xfId="0" applyNumberFormat="1" applyFont="1" applyAlignment="1">
      <alignment vertical="center"/>
    </xf>
    <xf numFmtId="0" fontId="26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vertical="center" wrapText="1"/>
    </xf>
    <xf numFmtId="3" fontId="0" fillId="0" borderId="0" xfId="0" applyNumberFormat="1" applyAlignment="1">
      <alignment vertical="center" wrapText="1"/>
    </xf>
    <xf numFmtId="0" fontId="0" fillId="0" borderId="0" xfId="0" quotePrefix="1" applyNumberFormat="1" applyAlignment="1">
      <alignment vertical="center" wrapText="1"/>
    </xf>
    <xf numFmtId="0" fontId="0" fillId="0" borderId="0" xfId="0" applyNumberFormat="1" applyAlignment="1">
      <alignment wrapText="1"/>
    </xf>
    <xf numFmtId="0" fontId="26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3" fontId="0" fillId="0" borderId="0" xfId="0" applyNumberFormat="1" applyAlignment="1">
      <alignment horizontal="left" vertical="center" wrapText="1"/>
    </xf>
    <xf numFmtId="0" fontId="0" fillId="0" borderId="0" xfId="0" quotePrefix="1" applyNumberFormat="1" applyAlignment="1">
      <alignment horizontal="left" vertical="center" wrapText="1"/>
    </xf>
  </cellXfs>
  <cellStyles count="67">
    <cellStyle name="01 Input №" xfId="6" xr:uid="{3C597C21-E041-42A9-99F7-AA7A04BCBEF1}"/>
    <cellStyle name="02 Input %" xfId="7" xr:uid="{C8E6C214-42DE-42DD-8CF2-67028C4435AE}"/>
    <cellStyle name="03 Input Date" xfId="8" xr:uid="{A0427193-8E8E-4A41-8056-A396D6E8DB54}"/>
    <cellStyle name="04 Input X" xfId="9" xr:uid="{13024992-C300-41C0-A078-D12059C93E50}"/>
    <cellStyle name="05 Section Heading 1" xfId="10" xr:uid="{F4D4B192-F892-4659-8001-D6BF5EC17954}"/>
    <cellStyle name="06 Section Heading 2" xfId="11" xr:uid="{ACE35CB2-E546-4DB0-93BB-ADF932830A02}"/>
    <cellStyle name="07 Calc №" xfId="12" xr:uid="{208D568C-F01A-497F-B9A2-F0AF1E346A99}"/>
    <cellStyle name="08 Calc %" xfId="13" xr:uid="{9A211290-F448-408A-996C-74A023A66085}"/>
    <cellStyle name="09 Calc Date" xfId="14" xr:uid="{65C8EEF8-9F57-403A-AC71-9279E97C3B10}"/>
    <cellStyle name="10 Calc x" xfId="15" xr:uid="{F80BA964-C8A0-4E1B-A128-BAC67585380E}"/>
    <cellStyle name="11 Body Text" xfId="16" xr:uid="{95637D80-9CA9-4749-A7B2-9DFB92F41B6C}"/>
    <cellStyle name="12 Section Heading 3" xfId="17" xr:uid="{5DF8B2C5-B6CA-422E-927F-505D7C7159DF}"/>
    <cellStyle name="13 Link №" xfId="18" xr:uid="{E6F36EA2-0843-4415-8462-D3BE770CF83B}"/>
    <cellStyle name="14 Link %" xfId="19" xr:uid="{CF1EA506-F7E4-4E43-A1BE-9D55E0564B8A}"/>
    <cellStyle name="15 Link Date" xfId="20" xr:uid="{F7931871-3A52-4645-AA01-31F15A8BC41A}"/>
    <cellStyle name="16 Link X" xfId="21" xr:uid="{5B688567-ACA9-4ED6-9627-48B2A56B1C8A}"/>
    <cellStyle name="17 Units" xfId="22" xr:uid="{533672B7-0ED1-4DE7-9F78-C722CBE5C8B4}"/>
    <cellStyle name="18 Heading column names" xfId="23" xr:uid="{EA7DA064-99C7-4655-A91E-1B679B3FD50A}"/>
    <cellStyle name="19 Changing formula №" xfId="24" xr:uid="{BD7A9242-D3F3-4D8F-A8D5-4107B561F2DB}"/>
    <cellStyle name="20 Changing formula %" xfId="25" xr:uid="{E2418103-D86B-4111-B04C-C55E9768FD09}"/>
    <cellStyle name="21 Changing formula X" xfId="26" xr:uid="{BA6BB42F-760F-410B-8311-027B521A899C}"/>
    <cellStyle name="22 VBA results №" xfId="27" xr:uid="{EBE4BF67-EDF7-4EBD-AA98-C3D4A24F2FFA}"/>
    <cellStyle name="23 VBA results %" xfId="28" xr:uid="{6392BDCF-2585-4D6B-BBE7-F6D5DBFF2FD9}"/>
    <cellStyle name="24 VBA results X" xfId="29" xr:uid="{81E81CC0-81E3-402A-BE36-EBBAB7C4B401}"/>
    <cellStyle name="25 Subtotal №" xfId="30" xr:uid="{362D2646-3C80-416A-9B3B-643188DDA298}"/>
    <cellStyle name="26 Subtotal %" xfId="31" xr:uid="{D13E8095-4E88-437D-8EE4-B1B90E7A999F}"/>
    <cellStyle name="27 Subtotal X" xfId="32" xr:uid="{AB6BB886-8A2A-4F58-8F01-530290C1A0B4}"/>
    <cellStyle name="28 Total №" xfId="33" xr:uid="{9AC6E099-9090-4674-A5A3-75A4BD865B8D}"/>
    <cellStyle name="29 Total %" xfId="34" xr:uid="{E008C462-429C-4609-ADDA-CA6484081540}"/>
    <cellStyle name="30 Total x" xfId="35" xr:uid="{9638E3BA-4D7C-4AA0-8D6E-F488F35A4F44}"/>
    <cellStyle name="31 Comment" xfId="36" xr:uid="{1754D518-C5EB-4645-8D8A-66011DA96E02}"/>
    <cellStyle name="32 Assumption" xfId="37" xr:uid="{E7085FDC-6598-4546-BCDA-DDFD3AFEA1F3}"/>
    <cellStyle name="33 Check" xfId="38" xr:uid="{2D6E3D9B-5C69-4AE7-85B5-0071BC7119B9}"/>
    <cellStyle name="34 Hat" xfId="39" xr:uid="{270BFE8C-FF7A-4A1B-AC13-7FD3E700C3D6}"/>
    <cellStyle name="35 Not Used" xfId="40" xr:uid="{FC6B86C6-3836-4AB0-BB71-4D165DBC7E2F}"/>
    <cellStyle name="Check" xfId="41" xr:uid="{AA7C1504-989F-4502-9906-34EB5DE25AAB}"/>
    <cellStyle name="Comma 2" xfId="42" xr:uid="{C0A61100-E560-42CF-BB45-A0D315A62C55}"/>
    <cellStyle name="Comma 3" xfId="43" xr:uid="{2B1584EE-0C25-4C52-824F-C1805702C63F}"/>
    <cellStyle name="Comma 4" xfId="44" xr:uid="{BF1F12CD-FBD0-4906-8173-F2161821E45D}"/>
    <cellStyle name="Comma 5" xfId="45" xr:uid="{396B5893-3E4E-4D51-AAFB-CDC267ED56F5}"/>
    <cellStyle name="Comment" xfId="46" xr:uid="{47914209-9860-4A47-BD67-A58E8ADCCD46}"/>
    <cellStyle name="Data" xfId="47" xr:uid="{4C6BAF89-F248-4EAC-A09F-0D43A8EBD6F7}"/>
    <cellStyle name="Heading 1" xfId="2" builtinId="16" customBuiltin="1"/>
    <cellStyle name="Heading 2" xfId="3" builtinId="17" customBuiltin="1"/>
    <cellStyle name="Heading 3" xfId="4" builtinId="18" customBuiltin="1"/>
    <cellStyle name="Heading 3 2" xfId="48" xr:uid="{13ECDEC1-32D0-4764-BDA0-EC7C0DB196F2}"/>
    <cellStyle name="Heading column names" xfId="49" xr:uid="{740B6E13-DF89-4B75-BAD2-DF2A532A4DC3}"/>
    <cellStyle name="Heading column names 2" xfId="50" xr:uid="{94300855-47A7-4861-A296-17681DE58C43}"/>
    <cellStyle name="Hyperlink 2" xfId="51" xr:uid="{8E2D562F-80C7-4B42-890C-9AE67555C949}"/>
    <cellStyle name="Input 2" xfId="52" xr:uid="{19FF04F9-5909-492B-A970-35AD90B62358}"/>
    <cellStyle name="Input Value" xfId="53" xr:uid="{778D5286-2FAF-4C79-92B0-470F9B279416}"/>
    <cellStyle name="Link" xfId="54" xr:uid="{997879FD-16B2-4679-A1E9-2660481AB025}"/>
    <cellStyle name="Normal" xfId="0" builtinId="0" customBuiltin="1"/>
    <cellStyle name="Normal 2" xfId="55" xr:uid="{B15DB554-57E2-4858-B865-1DEB35E0F822}"/>
    <cellStyle name="Normal 2 2" xfId="56" xr:uid="{A1D88394-C65E-4D0B-A494-4BC143DCC9C0}"/>
    <cellStyle name="Normal 3" xfId="57" xr:uid="{4103DB40-3A3E-4199-BD16-A47E08000944}"/>
    <cellStyle name="Normal 4" xfId="58" xr:uid="{3E833A9A-53FF-4F2D-A18A-F787236BFD97}"/>
    <cellStyle name="Normal 5" xfId="59" xr:uid="{F84AFB48-F36E-4010-9CE4-F2727F7E789E}"/>
    <cellStyle name="Normal 6" xfId="60" xr:uid="{076CF3E9-D4F9-47ED-B5A6-B85DD4222E87}"/>
    <cellStyle name="Normal 7" xfId="61" xr:uid="{276DF018-CF39-4AEB-8C49-65363C61C7EC}"/>
    <cellStyle name="Normal 8" xfId="62" xr:uid="{F5B6E623-D5DE-4856-8918-90B973B30549}"/>
    <cellStyle name="Normal 9" xfId="63" xr:uid="{0BC3EEF4-359F-42D4-8677-423A42BDD1A3}"/>
    <cellStyle name="Percent" xfId="1" builtinId="5" customBuiltin="1"/>
    <cellStyle name="Percent 2" xfId="64" xr:uid="{C3072914-1624-4239-8C4A-EF529CEA9A5F}"/>
    <cellStyle name="Subtotal" xfId="65" xr:uid="{F01197B8-C7F5-41A2-BFD4-6504D040FE6A}"/>
    <cellStyle name="Subtotal 2" xfId="66" xr:uid="{18C3C32B-8BAE-4477-9643-A43F472F562E}"/>
    <cellStyle name="Total" xfId="5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0</xdr:row>
          <xdr:rowOff>114300</xdr:rowOff>
        </xdr:from>
        <xdr:to>
          <xdr:col>1</xdr:col>
          <xdr:colOff>1495425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Formulas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ad19905d29507ae9/Desktop/Work/10.%20&#1050;&#1086;&#1085;&#1089;&#1086;&#1083;&#1080;&#1076;&#1072;&#1094;&#1080;&#1103;/NZMU_Model_12.05.2025.xlsm" TargetMode="External"/><Relationship Id="rId1" Type="http://schemas.openxmlformats.org/officeDocument/2006/relationships/externalLinkPath" Target="NZMU_Model_12.05.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Q"/>
      <sheetName val="Title"/>
      <sheetName val="Disclaimer"/>
      <sheetName val="Results &gt;&gt;"/>
      <sheetName val="Outputs"/>
      <sheetName val="IntScenario"/>
      <sheetName val="Ratios"/>
      <sheetName val="Loan Returns"/>
      <sheetName val="Checks"/>
      <sheetName val="S&amp;U_Q"/>
      <sheetName val="CFWaterfall"/>
      <sheetName val="Annual FS"/>
      <sheetName val="ICPF_Y"/>
      <sheetName val="Sensitivity"/>
      <sheetName val="Input &gt;&gt;"/>
      <sheetName val="Sales&amp;OpEx"/>
      <sheetName val="Tax"/>
      <sheetName val="Financing"/>
      <sheetName val="FA_Tax"/>
      <sheetName val="FA_RAS"/>
      <sheetName val="FS"/>
      <sheetName val="Assumptions"/>
      <sheetName val="MacrosDB"/>
      <sheetName val="Annual Assumptions"/>
      <sheetName val="Time"/>
      <sheetName val="His_FS"/>
      <sheetName val="Calc &gt;&gt;"/>
      <sheetName val="Sens_Capex"/>
      <sheetName val="ExecCF"/>
      <sheetName val="Dir"/>
      <sheetName val="Option"/>
      <sheetName val="Support &gt;&gt;"/>
      <sheetName val="Template"/>
      <sheetName val="Graph"/>
      <sheetName val="Sources &gt;&gt;"/>
      <sheetName val="AssumptionsInputList(Bdgt)"/>
      <sheetName val="AssumptionsInputList_Base"/>
      <sheetName val="БЮДЖЕТ_конс_month"/>
      <sheetName val="Соц взносы"/>
      <sheetName val="Budget"/>
      <sheetName val="ГДж_в_м3"/>
      <sheetName val="Факт"/>
      <sheetName val="Заявки на выборку"/>
      <sheetName val="VEB---&gt;"/>
      <sheetName val="Export list"/>
      <sheetName val="VEB_CF+RM"/>
      <sheetName val="VEB_Summary"/>
      <sheetName val="VEB_Efficiency"/>
      <sheetName val="VEB_Stress"/>
      <sheetName val="VEB_G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9"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Q9">
            <v>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126000.96963790343</v>
          </cell>
          <cell r="AL9">
            <v>128023.01086522633</v>
          </cell>
          <cell r="AM9">
            <v>128663.61556641727</v>
          </cell>
          <cell r="AN9">
            <v>153142.92020204733</v>
          </cell>
          <cell r="AO9">
            <v>153898.79459099355</v>
          </cell>
          <cell r="AP9">
            <v>156366.4026975061</v>
          </cell>
          <cell r="AQ9">
            <v>157146.68965011585</v>
          </cell>
          <cell r="AR9">
            <v>158811.74879487927</v>
          </cell>
          <cell r="AS9">
            <v>161371.06432655978</v>
          </cell>
          <cell r="AT9">
            <v>110495.26685845968</v>
          </cell>
          <cell r="AU9">
            <v>164781.14925403168</v>
          </cell>
          <cell r="AV9">
            <v>166635.61662967826</v>
          </cell>
          <cell r="AW9">
            <v>169321.01695432502</v>
          </cell>
          <cell r="AX9">
            <v>172038.25062258798</v>
          </cell>
          <cell r="AY9">
            <v>172899.0998667095</v>
          </cell>
          <cell r="AZ9">
            <v>170645.55546456884</v>
          </cell>
          <cell r="BA9">
            <v>173395.57757456272</v>
          </cell>
          <cell r="BB9">
            <v>118728.78632941291</v>
          </cell>
          <cell r="BC9">
            <v>177059.76388977925</v>
          </cell>
          <cell r="BD9">
            <v>176069.03803415288</v>
          </cell>
          <cell r="BE9">
            <v>176938.06989250338</v>
          </cell>
          <cell r="BF9">
            <v>179775.08896583522</v>
          </cell>
          <cell r="BG9">
            <v>180672.18804789096</v>
          </cell>
          <cell r="BH9">
            <v>178658.44873403999</v>
          </cell>
          <cell r="BI9">
            <v>181537.60185829372</v>
          </cell>
          <cell r="BJ9">
            <v>124303.85736060046</v>
          </cell>
          <cell r="BK9">
            <v>185373.84500665395</v>
          </cell>
          <cell r="BL9">
            <v>182810.78536339285</v>
          </cell>
          <cell r="BM9">
            <v>185756.85507101592</v>
          </cell>
          <cell r="BN9">
            <v>188737.84815615529</v>
          </cell>
          <cell r="BO9">
            <v>189682.25925853729</v>
          </cell>
          <cell r="BP9">
            <v>187063.65958850383</v>
          </cell>
          <cell r="BQ9">
            <v>190078.26608349435</v>
          </cell>
          <cell r="BR9">
            <v>130151.88827401328</v>
          </cell>
          <cell r="BS9">
            <v>194094.99010348113</v>
          </cell>
          <cell r="BT9">
            <v>192715.63054690801</v>
          </cell>
          <cell r="BU9">
            <v>193666.82573952831</v>
          </cell>
          <cell r="BV9">
            <v>196772.073122573</v>
          </cell>
          <cell r="BW9">
            <v>197753.98917772798</v>
          </cell>
          <cell r="BX9">
            <v>195249.5700209559</v>
          </cell>
          <cell r="BY9">
            <v>198396.09577173006</v>
          </cell>
          <cell r="BZ9">
            <v>135847.33816721666</v>
          </cell>
          <cell r="CA9">
            <v>202588.59173551295</v>
          </cell>
          <cell r="CB9">
            <v>199477.52225832248</v>
          </cell>
          <cell r="CC9">
            <v>202692.18316855689</v>
          </cell>
          <cell r="CD9">
            <v>205944.95139725175</v>
          </cell>
          <cell r="CE9">
            <v>206975.46382747806</v>
          </cell>
          <cell r="CF9">
            <v>203798.13985744389</v>
          </cell>
          <cell r="CG9">
            <v>207082.42926690326</v>
          </cell>
          <cell r="CH9">
            <v>141795.11289111906</v>
          </cell>
          <cell r="CI9">
            <v>211458.48437773954</v>
          </cell>
          <cell r="CJ9">
            <v>209960.31116168908</v>
          </cell>
          <cell r="CK9">
            <v>210996.62169888476</v>
          </cell>
          <cell r="CL9">
            <v>214379.73444862815</v>
          </cell>
          <cell r="CM9">
            <v>215449.51482861079</v>
          </cell>
          <cell r="CN9">
            <v>212377.74918599447</v>
          </cell>
          <cell r="CO9">
            <v>215800.30246810141</v>
          </cell>
          <cell r="CP9">
            <v>147764.48373108113</v>
          </cell>
          <cell r="CQ9">
            <v>220360.58322141637</v>
          </cell>
          <cell r="CR9">
            <v>216625.30416971442</v>
          </cell>
          <cell r="CS9">
            <v>220116.30851746345</v>
          </cell>
          <cell r="CT9">
            <v>223648.69602136532</v>
          </cell>
          <cell r="CU9">
            <v>224767.79488584466</v>
          </cell>
          <cell r="CV9">
            <v>220957.81025310868</v>
          </cell>
          <cell r="CW9">
            <v>224518.63468781271</v>
          </cell>
          <cell r="CX9">
            <v>153734.16887381679</v>
          </cell>
          <cell r="CY9">
            <v>229263.15078356158</v>
          </cell>
          <cell r="CZ9">
            <v>227267.79312501955</v>
          </cell>
          <cell r="DA9">
            <v>228389.52897822708</v>
          </cell>
          <cell r="DB9">
            <v>232051.5190194553</v>
          </cell>
          <cell r="DC9">
            <v>233209.48370688516</v>
          </cell>
          <cell r="DD9">
            <v>229884.50578733426</v>
          </cell>
          <cell r="DE9">
            <v>233589.18752920037</v>
          </cell>
          <cell r="DF9">
            <v>159945.029296319</v>
          </cell>
          <cell r="DG9">
            <v>238525.38207521747</v>
          </cell>
        </row>
        <row r="11">
          <cell r="G11">
            <v>-73.853615825933943</v>
          </cell>
          <cell r="H11">
            <v>-49.259592399787721</v>
          </cell>
          <cell r="I11">
            <v>-68.827173614122557</v>
          </cell>
          <cell r="J11">
            <v>-300.92832207452545</v>
          </cell>
          <cell r="K11">
            <v>-182.42161905435893</v>
          </cell>
          <cell r="L11">
            <v>-157.90684721623302</v>
          </cell>
          <cell r="M11">
            <v>-200.29846257810186</v>
          </cell>
          <cell r="N11">
            <v>-445.65270920431954</v>
          </cell>
          <cell r="O11">
            <v>-571.08753128462706</v>
          </cell>
          <cell r="P11">
            <v>-315.63891195500196</v>
          </cell>
          <cell r="Q11">
            <v>-693.17534389650177</v>
          </cell>
          <cell r="R11">
            <v>-647.32141036491998</v>
          </cell>
          <cell r="S11">
            <v>-1025.3097203872301</v>
          </cell>
          <cell r="T11">
            <v>-729.31276503584218</v>
          </cell>
          <cell r="U11">
            <v>-539.84225164551458</v>
          </cell>
          <cell r="V11">
            <v>-465.07791085754116</v>
          </cell>
          <cell r="W11">
            <v>-1193.0477785745873</v>
          </cell>
          <cell r="X11">
            <v>-393.14340787547394</v>
          </cell>
          <cell r="Y11">
            <v>-696.2085939889007</v>
          </cell>
          <cell r="Z11">
            <v>-566.59053834432962</v>
          </cell>
          <cell r="AA11">
            <v>-714.77900654352834</v>
          </cell>
          <cell r="AB11">
            <v>-782.40401744502742</v>
          </cell>
          <cell r="AC11">
            <v>-1155.9545677701808</v>
          </cell>
          <cell r="AD11">
            <v>-1226.9492035353057</v>
          </cell>
          <cell r="AE11">
            <v>-1933.9552215619995</v>
          </cell>
          <cell r="AF11">
            <v>-1669.2601211539406</v>
          </cell>
          <cell r="AG11">
            <v>-1797.2971371623084</v>
          </cell>
          <cell r="AH11">
            <v>-1066.2417595450577</v>
          </cell>
          <cell r="AI11">
            <v>-1202.9362726998595</v>
          </cell>
          <cell r="AJ11">
            <v>-971.64616060012395</v>
          </cell>
          <cell r="AK11">
            <v>-7456.4665024241694</v>
          </cell>
          <cell r="AL11">
            <v>-7791.3401078334846</v>
          </cell>
          <cell r="AM11">
            <v>-7038.7192745162884</v>
          </cell>
          <cell r="AN11">
            <v>-7315.5556307125325</v>
          </cell>
          <cell r="AO11">
            <v>-8031.5059707785849</v>
          </cell>
          <cell r="AP11">
            <v>-8376.8090866070488</v>
          </cell>
          <cell r="AQ11">
            <v>-7623.0351248843335</v>
          </cell>
          <cell r="AR11">
            <v>-7442.5055325132953</v>
          </cell>
          <cell r="AS11">
            <v>-8198.13837389521</v>
          </cell>
          <cell r="AT11">
            <v>-8019.9610934901766</v>
          </cell>
          <cell r="AU11">
            <v>-8146.5404677756333</v>
          </cell>
          <cell r="AV11">
            <v>-7980.1720084870003</v>
          </cell>
          <cell r="AW11">
            <v>-8695.7652910211273</v>
          </cell>
          <cell r="AX11">
            <v>-9273.2289058695096</v>
          </cell>
          <cell r="AY11">
            <v>-8326.3620479943402</v>
          </cell>
          <cell r="AZ11">
            <v>-8122.2190793901373</v>
          </cell>
          <cell r="BA11">
            <v>-8852.342503152031</v>
          </cell>
          <cell r="BB11">
            <v>-8292.5879985618194</v>
          </cell>
          <cell r="BC11">
            <v>-8475.8420301563947</v>
          </cell>
          <cell r="BD11">
            <v>-8293.7830424867279</v>
          </cell>
          <cell r="BE11">
            <v>-8999.7891208469955</v>
          </cell>
          <cell r="BF11">
            <v>-9600.782449032673</v>
          </cell>
          <cell r="BG11">
            <v>-8615.6916006687807</v>
          </cell>
          <cell r="BH11">
            <v>-8409.9363290959809</v>
          </cell>
          <cell r="BI11">
            <v>-9169.9173415981768</v>
          </cell>
          <cell r="BJ11">
            <v>-8580.3804572977351</v>
          </cell>
          <cell r="BK11">
            <v>-8778.6867236136968</v>
          </cell>
          <cell r="BL11">
            <v>-8558.6441369352196</v>
          </cell>
          <cell r="BM11">
            <v>-9334.0114401051451</v>
          </cell>
          <cell r="BN11">
            <v>-9959.8720675744225</v>
          </cell>
          <cell r="BO11">
            <v>-8935.2049332848546</v>
          </cell>
          <cell r="BP11">
            <v>-8712.4075231526767</v>
          </cell>
          <cell r="BQ11">
            <v>-9503.474480250301</v>
          </cell>
          <cell r="BR11">
            <v>-8882.5125051425002</v>
          </cell>
          <cell r="BS11">
            <v>-9096.948078267902</v>
          </cell>
          <cell r="BT11">
            <v>-8893.7441080303761</v>
          </cell>
          <cell r="BU11">
            <v>-9658.1583356245537</v>
          </cell>
          <cell r="BV11">
            <v>-10309.380175988907</v>
          </cell>
          <cell r="BW11">
            <v>-9243.3035043587715</v>
          </cell>
          <cell r="BX11">
            <v>-9014.0955394592038</v>
          </cell>
          <cell r="BY11">
            <v>-9837.3241846912933</v>
          </cell>
          <cell r="BZ11">
            <v>-9187.2482631585499</v>
          </cell>
          <cell r="CA11">
            <v>-9414.644041936579</v>
          </cell>
          <cell r="CB11">
            <v>-9169.7300255657156</v>
          </cell>
          <cell r="CC11">
            <v>-10009.527336591344</v>
          </cell>
          <cell r="CD11">
            <v>-10687.499916333916</v>
          </cell>
          <cell r="CE11">
            <v>-9578.5322864987866</v>
          </cell>
          <cell r="CF11">
            <v>-9328.6484915980036</v>
          </cell>
          <cell r="CG11">
            <v>-10185.348454464547</v>
          </cell>
          <cell r="CH11">
            <v>-9504.7776864209118</v>
          </cell>
          <cell r="CI11">
            <v>-9745.8756801448726</v>
          </cell>
          <cell r="CJ11">
            <v>-9526.3971475381932</v>
          </cell>
          <cell r="CK11">
            <v>-10353.957816453008</v>
          </cell>
          <cell r="CL11">
            <v>-11059.299142109367</v>
          </cell>
          <cell r="CM11">
            <v>-9905.4819249804023</v>
          </cell>
          <cell r="CN11">
            <v>-9650.1886863822019</v>
          </cell>
          <cell r="CO11">
            <v>-10541.610899358664</v>
          </cell>
          <cell r="CP11">
            <v>-9831.3271766929774</v>
          </cell>
          <cell r="CQ11">
            <v>-10084.532085276493</v>
          </cell>
          <cell r="CR11">
            <v>-9812.1004743498361</v>
          </cell>
          <cell r="CS11">
            <v>-10721.351131585825</v>
          </cell>
          <cell r="CT11">
            <v>-11455.440186780075</v>
          </cell>
          <cell r="CU11">
            <v>-10255.130741222009</v>
          </cell>
          <cell r="CV11">
            <v>-9977.2593754482023</v>
          </cell>
          <cell r="CW11">
            <v>-10904.695045828912</v>
          </cell>
          <cell r="CX11">
            <v>-10165.715860767534</v>
          </cell>
          <cell r="CY11">
            <v>-10429.150247657823</v>
          </cell>
          <cell r="CZ11">
            <v>-10183.546691740084</v>
          </cell>
          <cell r="DA11">
            <v>-11079.324974124596</v>
          </cell>
          <cell r="DB11">
            <v>-11842.809108792069</v>
          </cell>
          <cell r="DC11">
            <v>-10593.880246209968</v>
          </cell>
          <cell r="DD11">
            <v>-10317.578890707204</v>
          </cell>
          <cell r="DE11">
            <v>-11282.482962171294</v>
          </cell>
          <cell r="DF11">
            <v>-10513.649018033435</v>
          </cell>
          <cell r="DG11">
            <v>-10787.72615415409</v>
          </cell>
        </row>
        <row r="12"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-1.5536732466754997</v>
          </cell>
          <cell r="AL12">
            <v>-1.5536732466754997</v>
          </cell>
          <cell r="AM12">
            <v>-1.5536732466754997</v>
          </cell>
          <cell r="AN12">
            <v>-1.5011335716671492</v>
          </cell>
          <cell r="AO12">
            <v>-1.5011335716671492</v>
          </cell>
          <cell r="AP12">
            <v>-1.5011335716671492</v>
          </cell>
          <cell r="AQ12">
            <v>-1.5011335716671492</v>
          </cell>
          <cell r="AR12">
            <v>-1.4503706006445887</v>
          </cell>
          <cell r="AS12">
            <v>-1.4503706006445887</v>
          </cell>
          <cell r="AT12">
            <v>-1.4503706006445887</v>
          </cell>
          <cell r="AU12">
            <v>-1.4503706006445887</v>
          </cell>
          <cell r="AV12">
            <v>-1.4013242518305202</v>
          </cell>
          <cell r="AW12">
            <v>-1.4013242518305202</v>
          </cell>
          <cell r="AX12">
            <v>-1.4013242518305202</v>
          </cell>
          <cell r="AY12">
            <v>-1.4013242518305202</v>
          </cell>
          <cell r="AZ12">
            <v>-1.3739308559521954</v>
          </cell>
          <cell r="BA12">
            <v>-1.3739308559521954</v>
          </cell>
          <cell r="BB12">
            <v>-1.3739308559521954</v>
          </cell>
          <cell r="BC12">
            <v>-1.3739308559521954</v>
          </cell>
          <cell r="BD12">
            <v>-2370.3073134513888</v>
          </cell>
          <cell r="BE12">
            <v>-2346.8767705166356</v>
          </cell>
          <cell r="BF12">
            <v>-2323.4462275818819</v>
          </cell>
          <cell r="BG12">
            <v>-2300.0156846471282</v>
          </cell>
          <cell r="BH12">
            <v>-2276.55880883288</v>
          </cell>
          <cell r="BI12">
            <v>-2253.1282658981258</v>
          </cell>
          <cell r="BJ12">
            <v>-2235.4626581565167</v>
          </cell>
          <cell r="BK12">
            <v>-2217.7488082793993</v>
          </cell>
          <cell r="BL12">
            <v>-2194.1959629550774</v>
          </cell>
          <cell r="BM12">
            <v>-2170.6689357493087</v>
          </cell>
          <cell r="BN12">
            <v>-2147.1419085435405</v>
          </cell>
          <cell r="BO12">
            <v>-2123.6148813377717</v>
          </cell>
          <cell r="BP12">
            <v>-2100.0625407117327</v>
          </cell>
          <cell r="BQ12">
            <v>-2076.535513505964</v>
          </cell>
          <cell r="BR12">
            <v>-2058.8307854454447</v>
          </cell>
          <cell r="BS12">
            <v>-2041.0773352163462</v>
          </cell>
          <cell r="BT12">
            <v>-2017.4280450854762</v>
          </cell>
          <cell r="BU12">
            <v>-1993.8035735425487</v>
          </cell>
          <cell r="BV12">
            <v>-1970.1791019996213</v>
          </cell>
          <cell r="BW12">
            <v>-1946.5546304566938</v>
          </cell>
          <cell r="BX12">
            <v>-8456.6360799755894</v>
          </cell>
          <cell r="BY12">
            <v>-8352.6884051867091</v>
          </cell>
          <cell r="BZ12">
            <v>-8274.9042887458436</v>
          </cell>
          <cell r="CA12">
            <v>-8196.9012303941145</v>
          </cell>
          <cell r="CB12">
            <v>-8092.4918140300415</v>
          </cell>
          <cell r="CC12">
            <v>-7988.1062554194359</v>
          </cell>
          <cell r="CD12">
            <v>-7883.7206968088321</v>
          </cell>
          <cell r="CE12">
            <v>-7779.3351381982266</v>
          </cell>
          <cell r="CF12">
            <v>-7674.9261882107858</v>
          </cell>
          <cell r="CG12">
            <v>-7570.5406296001802</v>
          </cell>
          <cell r="CH12">
            <v>-7493.3776320010902</v>
          </cell>
          <cell r="CI12">
            <v>-7415.9868305441623</v>
          </cell>
          <cell r="CJ12">
            <v>-7311.1227301008475</v>
          </cell>
          <cell r="CK12">
            <v>-7206.2815637745671</v>
          </cell>
          <cell r="CL12">
            <v>-7101.4403974482884</v>
          </cell>
          <cell r="CM12">
            <v>-6996.5992311220089</v>
          </cell>
          <cell r="CN12">
            <v>-6891.7355789998774</v>
          </cell>
          <cell r="CO12">
            <v>-6786.8944126735978</v>
          </cell>
          <cell r="CP12">
            <v>-6710.3776744762563</v>
          </cell>
          <cell r="CQ12">
            <v>-6633.6239117757441</v>
          </cell>
          <cell r="CR12">
            <v>-6528.2866502045708</v>
          </cell>
          <cell r="CS12">
            <v>-6422.9714348719499</v>
          </cell>
          <cell r="CT12">
            <v>-6317.656219539328</v>
          </cell>
          <cell r="CU12">
            <v>-6212.3410042067071</v>
          </cell>
          <cell r="CV12">
            <v>-6107.0041736002722</v>
          </cell>
          <cell r="CW12">
            <v>-6001.6889582676513</v>
          </cell>
          <cell r="CX12">
            <v>-5925.8446376275624</v>
          </cell>
          <cell r="CY12">
            <v>-5849.7536986218456</v>
          </cell>
          <cell r="CZ12">
            <v>-5743.9240538243021</v>
          </cell>
          <cell r="DA12">
            <v>-5638.1156017604262</v>
          </cell>
          <cell r="DB12">
            <v>-5532.3071496965495</v>
          </cell>
          <cell r="DC12">
            <v>-5426.4986976326727</v>
          </cell>
          <cell r="DD12">
            <v>-5320.6694671153664</v>
          </cell>
          <cell r="DE12">
            <v>-5214.8610150514896</v>
          </cell>
          <cell r="DF12">
            <v>-5139.7163289081336</v>
          </cell>
          <cell r="DG12">
            <v>-5064.3150422131403</v>
          </cell>
        </row>
        <row r="13">
          <cell r="G13">
            <v>-73.853615825933943</v>
          </cell>
          <cell r="H13">
            <v>-49.259592399787721</v>
          </cell>
          <cell r="I13">
            <v>-68.827173614122557</v>
          </cell>
          <cell r="J13">
            <v>-300.92832207452545</v>
          </cell>
          <cell r="K13">
            <v>-182.42161905435893</v>
          </cell>
          <cell r="L13">
            <v>-157.90684721623302</v>
          </cell>
          <cell r="M13">
            <v>-200.29846257810186</v>
          </cell>
          <cell r="N13">
            <v>-445.65270920431954</v>
          </cell>
          <cell r="O13">
            <v>-571.08753128462706</v>
          </cell>
          <cell r="P13">
            <v>-315.63891195500196</v>
          </cell>
          <cell r="Q13">
            <v>-693.17534389650177</v>
          </cell>
          <cell r="R13">
            <v>-647.32141036491998</v>
          </cell>
          <cell r="S13">
            <v>-1025.3097203872301</v>
          </cell>
          <cell r="T13">
            <v>-729.31276503584218</v>
          </cell>
          <cell r="U13">
            <v>-539.84225164551458</v>
          </cell>
          <cell r="V13">
            <v>-465.07791085754116</v>
          </cell>
          <cell r="W13">
            <v>-1193.0477785745873</v>
          </cell>
          <cell r="X13">
            <v>-393.14340787547394</v>
          </cell>
          <cell r="Y13">
            <v>-696.2085939889007</v>
          </cell>
          <cell r="Z13">
            <v>-566.59053834432962</v>
          </cell>
          <cell r="AA13">
            <v>-714.77900654352834</v>
          </cell>
          <cell r="AB13">
            <v>-782.40401744502742</v>
          </cell>
          <cell r="AC13">
            <v>-1155.9545677701808</v>
          </cell>
          <cell r="AD13">
            <v>-1226.9492035353057</v>
          </cell>
          <cell r="AE13">
            <v>-1933.9552215619995</v>
          </cell>
          <cell r="AF13">
            <v>-1669.2601211539406</v>
          </cell>
          <cell r="AG13">
            <v>-1797.2971371623084</v>
          </cell>
          <cell r="AH13">
            <v>-1066.2417595450577</v>
          </cell>
          <cell r="AI13">
            <v>-1202.9362726998595</v>
          </cell>
          <cell r="AJ13">
            <v>-971.64616060012395</v>
          </cell>
          <cell r="AK13">
            <v>68269.856835543396</v>
          </cell>
          <cell r="AL13">
            <v>62239.681326860569</v>
          </cell>
          <cell r="AM13">
            <v>66182.740378018556</v>
          </cell>
          <cell r="AN13">
            <v>92519.768838890333</v>
          </cell>
          <cell r="AO13">
            <v>93391.521094594966</v>
          </cell>
          <cell r="AP13">
            <v>88446.211562399985</v>
          </cell>
          <cell r="AQ13">
            <v>92544.890953024675</v>
          </cell>
          <cell r="AR13">
            <v>96851.252546214615</v>
          </cell>
          <cell r="AS13">
            <v>98973.636555019664</v>
          </cell>
          <cell r="AT13">
            <v>56834.094892049674</v>
          </cell>
          <cell r="AU13">
            <v>98006.71384635687</v>
          </cell>
          <cell r="AV13">
            <v>102632.33963842224</v>
          </cell>
          <cell r="AW13">
            <v>105102.03555754879</v>
          </cell>
          <cell r="AX13">
            <v>100631.5726281769</v>
          </cell>
          <cell r="AY13">
            <v>105574.48549249987</v>
          </cell>
          <cell r="AZ13">
            <v>105362.97976066473</v>
          </cell>
          <cell r="BA13">
            <v>107892.46385582752</v>
          </cell>
          <cell r="BB13">
            <v>63577.226088415009</v>
          </cell>
          <cell r="BC13">
            <v>108388.79550427255</v>
          </cell>
          <cell r="BD13">
            <v>106678.31023720314</v>
          </cell>
          <cell r="BE13">
            <v>107925.80201059047</v>
          </cell>
          <cell r="BF13">
            <v>103315.42380340466</v>
          </cell>
          <cell r="BG13">
            <v>108482.82957344319</v>
          </cell>
          <cell r="BH13">
            <v>108467.71181395372</v>
          </cell>
          <cell r="BI13">
            <v>111139.58651482905</v>
          </cell>
          <cell r="BJ13">
            <v>64712.703604087372</v>
          </cell>
          <cell r="BK13">
            <v>111714.71109487856</v>
          </cell>
          <cell r="BL13">
            <v>111343.69340293799</v>
          </cell>
          <cell r="BM13">
            <v>114077.40716042792</v>
          </cell>
          <cell r="BN13">
            <v>109301.8606534836</v>
          </cell>
          <cell r="BO13">
            <v>114687.29433878858</v>
          </cell>
          <cell r="BP13">
            <v>114301.82720445377</v>
          </cell>
          <cell r="BQ13">
            <v>117098.71820515432</v>
          </cell>
          <cell r="BR13">
            <v>68436.733129534929</v>
          </cell>
          <cell r="BS13">
            <v>117720.79145086798</v>
          </cell>
          <cell r="BT13">
            <v>118190.10765888948</v>
          </cell>
          <cell r="BU13">
            <v>119548.15873840857</v>
          </cell>
          <cell r="BV13">
            <v>114590.93710143656</v>
          </cell>
          <cell r="BW13">
            <v>120192.33165411471</v>
          </cell>
          <cell r="BX13">
            <v>113357.21209270188</v>
          </cell>
          <cell r="BY13">
            <v>116345.98573645628</v>
          </cell>
          <cell r="BZ13">
            <v>65560.181998399945</v>
          </cell>
          <cell r="CA13">
            <v>117104.72925798636</v>
          </cell>
          <cell r="CB13">
            <v>116476.63116360246</v>
          </cell>
          <cell r="CC13">
            <v>119528.26889710843</v>
          </cell>
          <cell r="CD13">
            <v>114454.49279757738</v>
          </cell>
          <cell r="CE13">
            <v>120358.60327971735</v>
          </cell>
          <cell r="CF13">
            <v>119711.15326193607</v>
          </cell>
          <cell r="CG13">
            <v>122826.71685899471</v>
          </cell>
          <cell r="CH13">
            <v>69767.962561351407</v>
          </cell>
          <cell r="CI13">
            <v>123622.25241943041</v>
          </cell>
          <cell r="CJ13">
            <v>124189.88931686623</v>
          </cell>
          <cell r="CK13">
            <v>125732.75335522299</v>
          </cell>
          <cell r="CL13">
            <v>120457.99677088599</v>
          </cell>
          <cell r="CM13">
            <v>126593.74602492058</v>
          </cell>
          <cell r="CN13">
            <v>126031.57947910987</v>
          </cell>
          <cell r="CO13">
            <v>129274.9135462975</v>
          </cell>
          <cell r="CP13">
            <v>73932.418456439089</v>
          </cell>
          <cell r="CQ13">
            <v>130103.21963230173</v>
          </cell>
          <cell r="CR13">
            <v>129104.22087234273</v>
          </cell>
          <cell r="CS13">
            <v>132411.3015553916</v>
          </cell>
          <cell r="CT13">
            <v>126926.28698747572</v>
          </cell>
          <cell r="CU13">
            <v>133311.43584001818</v>
          </cell>
          <cell r="CV13">
            <v>132287.48022055699</v>
          </cell>
          <cell r="CW13">
            <v>135659.08427205821</v>
          </cell>
          <cell r="CX13">
            <v>78031.312640146178</v>
          </cell>
          <cell r="CY13">
            <v>136515.26117435499</v>
          </cell>
          <cell r="CZ13">
            <v>136805.63638637034</v>
          </cell>
          <cell r="DA13">
            <v>138466.82696459044</v>
          </cell>
          <cell r="DB13">
            <v>132754.72445629261</v>
          </cell>
          <cell r="DC13">
            <v>139387.36873957529</v>
          </cell>
          <cell r="DD13">
            <v>138760.14001093284</v>
          </cell>
          <cell r="DE13">
            <v>142265.13458115971</v>
          </cell>
          <cell r="DF13">
            <v>82259.201412832015</v>
          </cell>
          <cell r="DG13">
            <v>143150.22387231659</v>
          </cell>
        </row>
        <row r="15">
          <cell r="G15">
            <v>-73.853615825933943</v>
          </cell>
          <cell r="H15">
            <v>-49.259592399787721</v>
          </cell>
          <cell r="I15">
            <v>-68.827173614122557</v>
          </cell>
          <cell r="J15">
            <v>-300.92832207452545</v>
          </cell>
          <cell r="K15">
            <v>-182.42161905435893</v>
          </cell>
          <cell r="L15">
            <v>-157.90684721623302</v>
          </cell>
          <cell r="M15">
            <v>-200.29846257810186</v>
          </cell>
          <cell r="N15">
            <v>-445.65270920431954</v>
          </cell>
          <cell r="O15">
            <v>-571.08753128462706</v>
          </cell>
          <cell r="P15">
            <v>-315.63891195500196</v>
          </cell>
          <cell r="Q15">
            <v>-693.17534389650177</v>
          </cell>
          <cell r="R15">
            <v>-647.32141036491998</v>
          </cell>
          <cell r="S15">
            <v>-1025.3097203872301</v>
          </cell>
          <cell r="T15">
            <v>-729.31276503584218</v>
          </cell>
          <cell r="U15">
            <v>-539.84225164551458</v>
          </cell>
          <cell r="V15">
            <v>-465.07791085754116</v>
          </cell>
          <cell r="W15">
            <v>-1193.0477785745873</v>
          </cell>
          <cell r="X15">
            <v>-393.14340787547394</v>
          </cell>
          <cell r="Y15">
            <v>-696.2085939889007</v>
          </cell>
          <cell r="Z15">
            <v>-566.59053834432962</v>
          </cell>
          <cell r="AA15">
            <v>-714.77900654352834</v>
          </cell>
          <cell r="AB15">
            <v>-782.40401744502742</v>
          </cell>
          <cell r="AC15">
            <v>-1155.9545677701808</v>
          </cell>
          <cell r="AD15">
            <v>-1226.9492035353057</v>
          </cell>
          <cell r="AE15">
            <v>-1933.9552215619995</v>
          </cell>
          <cell r="AF15">
            <v>-1669.2601211539406</v>
          </cell>
          <cell r="AG15">
            <v>-1797.2971371623084</v>
          </cell>
          <cell r="AH15">
            <v>-1066.2417595450577</v>
          </cell>
          <cell r="AI15">
            <v>-1202.9362726998595</v>
          </cell>
          <cell r="AJ15">
            <v>-971.64616060012395</v>
          </cell>
          <cell r="AK15">
            <v>58973.690096219994</v>
          </cell>
          <cell r="AL15">
            <v>43647.347848213765</v>
          </cell>
          <cell r="AM15">
            <v>47590.406899371752</v>
          </cell>
          <cell r="AN15">
            <v>73927.435360243529</v>
          </cell>
          <cell r="AO15">
            <v>74799.187615948162</v>
          </cell>
          <cell r="AP15">
            <v>69853.878083753181</v>
          </cell>
          <cell r="AQ15">
            <v>73952.557474377871</v>
          </cell>
          <cell r="AR15">
            <v>78258.919067567811</v>
          </cell>
          <cell r="AS15">
            <v>80381.30307637286</v>
          </cell>
          <cell r="AT15">
            <v>38203.924444377393</v>
          </cell>
          <cell r="AU15">
            <v>79338.706429659112</v>
          </cell>
          <cell r="AV15">
            <v>83964.332221724486</v>
          </cell>
          <cell r="AW15">
            <v>86434.028140851035</v>
          </cell>
          <cell r="AX15">
            <v>81963.565211479145</v>
          </cell>
          <cell r="AY15">
            <v>86906.478075802108</v>
          </cell>
          <cell r="AZ15">
            <v>86694.972343966976</v>
          </cell>
          <cell r="BA15">
            <v>89224.456439129761</v>
          </cell>
          <cell r="BB15">
            <v>44871.005206164715</v>
          </cell>
          <cell r="BC15">
            <v>89644.361156469706</v>
          </cell>
          <cell r="BD15">
            <v>87933.875889400311</v>
          </cell>
          <cell r="BE15">
            <v>89181.367662787641</v>
          </cell>
          <cell r="BF15">
            <v>84570.989455601812</v>
          </cell>
          <cell r="BG15">
            <v>89738.395225640357</v>
          </cell>
          <cell r="BH15">
            <v>89723.277466150874</v>
          </cell>
          <cell r="BI15">
            <v>92395.152167026215</v>
          </cell>
          <cell r="BJ15">
            <v>45929.675547878549</v>
          </cell>
          <cell r="BK15">
            <v>92893.089330263756</v>
          </cell>
          <cell r="BL15">
            <v>92522.071638323192</v>
          </cell>
          <cell r="BM15">
            <v>95255.785395813116</v>
          </cell>
          <cell r="BN15">
            <v>90480.2388888688</v>
          </cell>
          <cell r="BO15">
            <v>95865.672574173776</v>
          </cell>
          <cell r="BP15">
            <v>95480.205439838959</v>
          </cell>
          <cell r="BQ15">
            <v>98277.096440539521</v>
          </cell>
          <cell r="BR15">
            <v>49576.133630056531</v>
          </cell>
          <cell r="BS15">
            <v>98821.214216525987</v>
          </cell>
          <cell r="BT15">
            <v>99290.530424547484</v>
          </cell>
          <cell r="BU15">
            <v>100648.58150406658</v>
          </cell>
          <cell r="BV15">
            <v>95691.359867094565</v>
          </cell>
          <cell r="BW15">
            <v>101292.75441977271</v>
          </cell>
          <cell r="BX15">
            <v>94457.634858359888</v>
          </cell>
          <cell r="BY15">
            <v>97446.408502114282</v>
          </cell>
          <cell r="BZ15">
            <v>46620.797143901211</v>
          </cell>
          <cell r="CA15">
            <v>98125.536783330885</v>
          </cell>
          <cell r="CB15">
            <v>97497.43868894699</v>
          </cell>
          <cell r="CC15">
            <v>100549.07642245296</v>
          </cell>
          <cell r="CD15">
            <v>95475.300322921903</v>
          </cell>
          <cell r="CE15">
            <v>101379.41080506188</v>
          </cell>
          <cell r="CF15">
            <v>100731.96078728059</v>
          </cell>
          <cell r="CG15">
            <v>103847.52438433924</v>
          </cell>
          <cell r="CH15">
            <v>50747.351203452854</v>
          </cell>
          <cell r="CI15">
            <v>104560.22217828878</v>
          </cell>
          <cell r="CJ15">
            <v>105127.8590757246</v>
          </cell>
          <cell r="CK15">
            <v>106670.72311408135</v>
          </cell>
          <cell r="CL15">
            <v>101395.96652974436</v>
          </cell>
          <cell r="CM15">
            <v>107531.71578377894</v>
          </cell>
          <cell r="CN15">
            <v>106969.54923796824</v>
          </cell>
          <cell r="CO15">
            <v>110212.88330515586</v>
          </cell>
          <cell r="CP15">
            <v>54827.292851084545</v>
          </cell>
          <cell r="CQ15">
            <v>110954.99866273426</v>
          </cell>
          <cell r="CR15">
            <v>109955.99990277528</v>
          </cell>
          <cell r="CS15">
            <v>113263.08058582415</v>
          </cell>
          <cell r="CT15">
            <v>107778.06601790825</v>
          </cell>
          <cell r="CU15">
            <v>114163.21487045073</v>
          </cell>
          <cell r="CV15">
            <v>113139.25925098953</v>
          </cell>
          <cell r="CW15">
            <v>116510.86330249076</v>
          </cell>
          <cell r="CX15">
            <v>58838.251967737284</v>
          </cell>
          <cell r="CY15">
            <v>117277.36079910466</v>
          </cell>
          <cell r="CZ15">
            <v>117567.73601112001</v>
          </cell>
          <cell r="DA15">
            <v>119228.9265893401</v>
          </cell>
          <cell r="DB15">
            <v>113516.82408104227</v>
          </cell>
          <cell r="DC15">
            <v>120149.46836432496</v>
          </cell>
          <cell r="DD15">
            <v>119522.2396356825</v>
          </cell>
          <cell r="DE15">
            <v>123027.23420590938</v>
          </cell>
          <cell r="DF15">
            <v>62974.646391829658</v>
          </cell>
          <cell r="DG15">
            <v>123819.01420556221</v>
          </cell>
        </row>
        <row r="16"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-8085.6818984740221</v>
          </cell>
          <cell r="BE16">
            <v>-10701.764119534519</v>
          </cell>
          <cell r="BF16">
            <v>-10148.518734672218</v>
          </cell>
          <cell r="BG16">
            <v>-10768.607427076844</v>
          </cell>
          <cell r="BH16">
            <v>-10766.793295938105</v>
          </cell>
          <cell r="BI16">
            <v>-11087.418260043147</v>
          </cell>
          <cell r="BJ16">
            <v>-5511.5610657454263</v>
          </cell>
          <cell r="BK16">
            <v>-11147.170719631651</v>
          </cell>
          <cell r="BL16">
            <v>-11102.648596598783</v>
          </cell>
          <cell r="BM16">
            <v>-11430.694247497575</v>
          </cell>
          <cell r="BN16">
            <v>-10857.628666664257</v>
          </cell>
          <cell r="BO16">
            <v>-11503.880708900853</v>
          </cell>
          <cell r="BP16">
            <v>-11457.624652780676</v>
          </cell>
          <cell r="BQ16">
            <v>-11793.251572864743</v>
          </cell>
          <cell r="BR16">
            <v>-5949.1360356067844</v>
          </cell>
          <cell r="BS16">
            <v>-11858.545705983119</v>
          </cell>
          <cell r="BT16">
            <v>-11914.863650945699</v>
          </cell>
          <cell r="BU16">
            <v>-12077.829780487989</v>
          </cell>
          <cell r="BV16">
            <v>-11482.963184051348</v>
          </cell>
          <cell r="BW16">
            <v>-12155.130530372726</v>
          </cell>
          <cell r="BX16">
            <v>-23614.408714589972</v>
          </cell>
          <cell r="BY16">
            <v>-24361.60212552857</v>
          </cell>
          <cell r="BZ16">
            <v>-11655.199285975303</v>
          </cell>
          <cell r="CA16">
            <v>-24531.384195832721</v>
          </cell>
          <cell r="CB16">
            <v>-24374.359672236747</v>
          </cell>
          <cell r="CC16">
            <v>-25137.269105613239</v>
          </cell>
          <cell r="CD16">
            <v>-23868.825080730476</v>
          </cell>
          <cell r="CE16">
            <v>-25344.85270126547</v>
          </cell>
          <cell r="CF16">
            <v>-25182.990196820148</v>
          </cell>
          <cell r="CG16">
            <v>-25961.88109608481</v>
          </cell>
          <cell r="CH16">
            <v>-12686.837800863213</v>
          </cell>
          <cell r="CI16">
            <v>-26140.055544572195</v>
          </cell>
          <cell r="CJ16">
            <v>-26281.96476893115</v>
          </cell>
          <cell r="CK16">
            <v>-26667.680778520338</v>
          </cell>
          <cell r="CL16">
            <v>-25348.991632436089</v>
          </cell>
          <cell r="CM16">
            <v>-26882.928945944735</v>
          </cell>
          <cell r="CN16">
            <v>-26742.38730949206</v>
          </cell>
          <cell r="CO16">
            <v>-27553.220826288965</v>
          </cell>
          <cell r="CP16">
            <v>-13706.823212771136</v>
          </cell>
          <cell r="CQ16">
            <v>-27738.749665683565</v>
          </cell>
          <cell r="CR16">
            <v>-27488.99997569382</v>
          </cell>
          <cell r="CS16">
            <v>-28315.770146456038</v>
          </cell>
          <cell r="CT16">
            <v>-26944.516504477062</v>
          </cell>
          <cell r="CU16">
            <v>-28540.803717612682</v>
          </cell>
          <cell r="CV16">
            <v>-28284.814812747383</v>
          </cell>
          <cell r="CW16">
            <v>-29127.71582562269</v>
          </cell>
          <cell r="CX16">
            <v>-14709.562991934321</v>
          </cell>
          <cell r="CY16">
            <v>-29319.340199776165</v>
          </cell>
          <cell r="CZ16">
            <v>-29391.934002780003</v>
          </cell>
          <cell r="DA16">
            <v>-29807.231647335026</v>
          </cell>
          <cell r="DB16">
            <v>-28379.206020260568</v>
          </cell>
          <cell r="DC16">
            <v>-30037.36709108124</v>
          </cell>
          <cell r="DD16">
            <v>-29880.559908920626</v>
          </cell>
          <cell r="DE16">
            <v>-30756.808551477345</v>
          </cell>
          <cell r="DF16">
            <v>-15743.661597957414</v>
          </cell>
          <cell r="DG16">
            <v>-30954.753551390553</v>
          </cell>
        </row>
        <row r="18"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9296.166739323402</v>
          </cell>
          <cell r="AL18">
            <v>18592.333478646804</v>
          </cell>
          <cell r="AM18">
            <v>18592.333478646804</v>
          </cell>
          <cell r="AN18">
            <v>18592.333478646804</v>
          </cell>
          <cell r="AO18">
            <v>18592.333478646804</v>
          </cell>
          <cell r="AP18">
            <v>18592.333478646804</v>
          </cell>
          <cell r="AQ18">
            <v>18592.333478646804</v>
          </cell>
          <cell r="AR18">
            <v>18592.333478646804</v>
          </cell>
          <cell r="AS18">
            <v>18592.333478646804</v>
          </cell>
          <cell r="AT18">
            <v>18630.170447672277</v>
          </cell>
          <cell r="AU18">
            <v>18668.007416697754</v>
          </cell>
          <cell r="AV18">
            <v>18668.007416697754</v>
          </cell>
          <cell r="AW18">
            <v>18668.007416697754</v>
          </cell>
          <cell r="AX18">
            <v>18668.007416697754</v>
          </cell>
          <cell r="AY18">
            <v>18668.007416697754</v>
          </cell>
          <cell r="AZ18">
            <v>18668.007416697754</v>
          </cell>
          <cell r="BA18">
            <v>18668.007416697754</v>
          </cell>
          <cell r="BB18">
            <v>18706.220882250298</v>
          </cell>
          <cell r="BC18">
            <v>18744.434347802839</v>
          </cell>
          <cell r="BD18">
            <v>18744.434347802839</v>
          </cell>
          <cell r="BE18">
            <v>18744.434347802839</v>
          </cell>
          <cell r="BF18">
            <v>18744.434347802839</v>
          </cell>
          <cell r="BG18">
            <v>18744.434347802839</v>
          </cell>
          <cell r="BH18">
            <v>18744.434347802839</v>
          </cell>
          <cell r="BI18">
            <v>18744.434347802839</v>
          </cell>
          <cell r="BJ18">
            <v>18783.028056208823</v>
          </cell>
          <cell r="BK18">
            <v>18821.621764614807</v>
          </cell>
          <cell r="BL18">
            <v>18821.621764614807</v>
          </cell>
          <cell r="BM18">
            <v>18821.621764614807</v>
          </cell>
          <cell r="BN18">
            <v>18821.621764614807</v>
          </cell>
          <cell r="BO18">
            <v>18821.621764614807</v>
          </cell>
          <cell r="BP18">
            <v>18821.621764614807</v>
          </cell>
          <cell r="BQ18">
            <v>18821.621764614807</v>
          </cell>
          <cell r="BR18">
            <v>18860.599499478401</v>
          </cell>
          <cell r="BS18">
            <v>18899.577234341996</v>
          </cell>
          <cell r="BT18">
            <v>18899.577234341996</v>
          </cell>
          <cell r="BU18">
            <v>18899.577234341996</v>
          </cell>
          <cell r="BV18">
            <v>18899.577234341996</v>
          </cell>
          <cell r="BW18">
            <v>18899.577234341996</v>
          </cell>
          <cell r="BX18">
            <v>18899.577234341996</v>
          </cell>
          <cell r="BY18">
            <v>18899.577234341996</v>
          </cell>
          <cell r="BZ18">
            <v>18939.384854498734</v>
          </cell>
          <cell r="CA18">
            <v>18979.192474655469</v>
          </cell>
          <cell r="CB18">
            <v>18979.192474655469</v>
          </cell>
          <cell r="CC18">
            <v>18979.192474655469</v>
          </cell>
          <cell r="CD18">
            <v>18979.192474655469</v>
          </cell>
          <cell r="CE18">
            <v>18979.192474655469</v>
          </cell>
          <cell r="CF18">
            <v>18979.192474655469</v>
          </cell>
          <cell r="CG18">
            <v>18979.192474655469</v>
          </cell>
          <cell r="CH18">
            <v>19020.61135789855</v>
          </cell>
          <cell r="CI18">
            <v>19062.030241141631</v>
          </cell>
          <cell r="CJ18">
            <v>19062.030241141631</v>
          </cell>
          <cell r="CK18">
            <v>19062.030241141631</v>
          </cell>
          <cell r="CL18">
            <v>19062.030241141631</v>
          </cell>
          <cell r="CM18">
            <v>19062.030241141631</v>
          </cell>
          <cell r="CN18">
            <v>19062.030241141631</v>
          </cell>
          <cell r="CO18">
            <v>19062.030241141631</v>
          </cell>
          <cell r="CP18">
            <v>19105.125605354544</v>
          </cell>
          <cell r="CQ18">
            <v>19148.220969567461</v>
          </cell>
          <cell r="CR18">
            <v>19148.220969567461</v>
          </cell>
          <cell r="CS18">
            <v>19148.220969567461</v>
          </cell>
          <cell r="CT18">
            <v>19148.220969567461</v>
          </cell>
          <cell r="CU18">
            <v>19148.220969567461</v>
          </cell>
          <cell r="CV18">
            <v>19148.220969567461</v>
          </cell>
          <cell r="CW18">
            <v>19148.220969567461</v>
          </cell>
          <cell r="CX18">
            <v>19193.060672408894</v>
          </cell>
          <cell r="CY18">
            <v>19237.90037525033</v>
          </cell>
          <cell r="CZ18">
            <v>19237.90037525033</v>
          </cell>
          <cell r="DA18">
            <v>19237.90037525033</v>
          </cell>
          <cell r="DB18">
            <v>19237.90037525033</v>
          </cell>
          <cell r="DC18">
            <v>19237.90037525033</v>
          </cell>
          <cell r="DD18">
            <v>19237.90037525033</v>
          </cell>
          <cell r="DE18">
            <v>19237.90037525033</v>
          </cell>
          <cell r="DF18">
            <v>19284.555021002358</v>
          </cell>
          <cell r="DG18">
            <v>19331.209666754385</v>
          </cell>
        </row>
        <row r="19">
          <cell r="G19">
            <v>0</v>
          </cell>
          <cell r="H19">
            <v>-376.61607908290671</v>
          </cell>
          <cell r="I19">
            <v>13968.381906410999</v>
          </cell>
          <cell r="J19">
            <v>-9488.8299562041411</v>
          </cell>
          <cell r="K19">
            <v>-2533.893968984552</v>
          </cell>
          <cell r="L19">
            <v>1559.2679751463047</v>
          </cell>
          <cell r="M19">
            <v>3219.0296017385963</v>
          </cell>
          <cell r="N19">
            <v>-3640.1238973774043</v>
          </cell>
          <cell r="O19">
            <v>3095.077669390259</v>
          </cell>
          <cell r="P19">
            <v>200.5271428674796</v>
          </cell>
          <cell r="Q19">
            <v>-5235.6615696802764</v>
          </cell>
          <cell r="R19">
            <v>587.13181484689449</v>
          </cell>
          <cell r="S19">
            <v>-425.14917546209062</v>
          </cell>
          <cell r="T19">
            <v>277.38409640256623</v>
          </cell>
          <cell r="U19">
            <v>-1923.0950864265201</v>
          </cell>
          <cell r="V19">
            <v>-15.154852739450689</v>
          </cell>
          <cell r="W19">
            <v>208.47002595719914</v>
          </cell>
          <cell r="X19">
            <v>-1975.4601992092676</v>
          </cell>
          <cell r="Y19">
            <v>-6902.5046389784402</v>
          </cell>
          <cell r="Z19">
            <v>-7021.4262693120509</v>
          </cell>
          <cell r="AA19">
            <v>1344.4798367812218</v>
          </cell>
          <cell r="AB19">
            <v>6689.3554945189917</v>
          </cell>
          <cell r="AC19">
            <v>-11069.489202523308</v>
          </cell>
          <cell r="AD19">
            <v>2934.8974084742331</v>
          </cell>
          <cell r="AE19">
            <v>-13620.443852553104</v>
          </cell>
          <cell r="AF19">
            <v>7233.6584298219059</v>
          </cell>
          <cell r="AG19">
            <v>9588.4996236635016</v>
          </cell>
          <cell r="AH19">
            <v>303.03345289022764</v>
          </cell>
          <cell r="AI19">
            <v>2454.0159191716757</v>
          </cell>
          <cell r="AJ19">
            <v>-14580.16475429652</v>
          </cell>
          <cell r="AK19">
            <v>-3614.9563377423401</v>
          </cell>
          <cell r="AL19">
            <v>-29576.779222579142</v>
          </cell>
          <cell r="AM19">
            <v>-29151.499826671323</v>
          </cell>
          <cell r="AN19">
            <v>-32773.902513750698</v>
          </cell>
          <cell r="AO19">
            <v>-5083.1041168670054</v>
          </cell>
          <cell r="AP19">
            <v>-5804.8769472799468</v>
          </cell>
          <cell r="AQ19">
            <v>-5115.7435791217722</v>
          </cell>
          <cell r="AR19">
            <v>-610.47661921143299</v>
          </cell>
          <cell r="AS19">
            <v>-1581.5723172844155</v>
          </cell>
          <cell r="AT19">
            <v>10746.834278311377</v>
          </cell>
          <cell r="AU19">
            <v>-2644.4871766339347</v>
          </cell>
          <cell r="AV19">
            <v>-726.47299239746644</v>
          </cell>
          <cell r="AW19">
            <v>-1403.281604393007</v>
          </cell>
          <cell r="AX19">
            <v>-12883.054889997788</v>
          </cell>
          <cell r="AY19">
            <v>-1448.8109023810539</v>
          </cell>
          <cell r="AZ19">
            <v>-393.04127025650814</v>
          </cell>
          <cell r="BA19">
            <v>-908.62410080101108</v>
          </cell>
          <cell r="BB19">
            <v>11893.755345300364</v>
          </cell>
          <cell r="BC19">
            <v>-2294.0073774422635</v>
          </cell>
          <cell r="BD19">
            <v>-538.25210611126386</v>
          </cell>
          <cell r="BE19">
            <v>-481.62155706371414</v>
          </cell>
          <cell r="BF19">
            <v>-12687.296821729775</v>
          </cell>
          <cell r="BG19">
            <v>-501.44351208311855</v>
          </cell>
          <cell r="BH19">
            <v>-128.66601005470147</v>
          </cell>
          <cell r="BI19">
            <v>-1030.9740690865438</v>
          </cell>
          <cell r="BJ19">
            <v>12412.271780579758</v>
          </cell>
          <cell r="BK19">
            <v>-2532.396039557003</v>
          </cell>
          <cell r="BL19">
            <v>-407.46113371493993</v>
          </cell>
          <cell r="BM19">
            <v>-954.19974809384439</v>
          </cell>
          <cell r="BN19">
            <v>-13609.237796717556</v>
          </cell>
          <cell r="BO19">
            <v>-862.2860087484878</v>
          </cell>
          <cell r="BP19">
            <v>-419.99480313088861</v>
          </cell>
          <cell r="BQ19">
            <v>-977.33314908179455</v>
          </cell>
          <cell r="BR19">
            <v>13141.859752246004</v>
          </cell>
          <cell r="BS19">
            <v>-2595.0815440409933</v>
          </cell>
          <cell r="BT19">
            <v>-778.56304498534882</v>
          </cell>
          <cell r="BU19">
            <v>-717.0006923036417</v>
          </cell>
          <cell r="BV19">
            <v>-14066.351474691095</v>
          </cell>
          <cell r="BW19">
            <v>-733.90768378262874</v>
          </cell>
          <cell r="BX19">
            <v>521.14706766756717</v>
          </cell>
          <cell r="BY19">
            <v>-476.68615846356261</v>
          </cell>
          <cell r="BZ19">
            <v>14274.03194502418</v>
          </cell>
          <cell r="CA19">
            <v>-2209.4743710719049</v>
          </cell>
          <cell r="CB19">
            <v>-415.81966996804113</v>
          </cell>
          <cell r="CC19">
            <v>-1014.1602086650091</v>
          </cell>
          <cell r="CD19">
            <v>-14822.594200472842</v>
          </cell>
          <cell r="CE19">
            <v>-917.61207241282682</v>
          </cell>
          <cell r="CF19">
            <v>-430.09072793499217</v>
          </cell>
          <cell r="CG19">
            <v>-1040.2666801990708</v>
          </cell>
          <cell r="CH19">
            <v>14353.512537547445</v>
          </cell>
          <cell r="CI19">
            <v>-2819.4170952374989</v>
          </cell>
          <cell r="CJ19">
            <v>-883.50819371253601</v>
          </cell>
          <cell r="CK19">
            <v>-814.20038349111564</v>
          </cell>
          <cell r="CL19">
            <v>-15340.178475103021</v>
          </cell>
          <cell r="CM19">
            <v>-836.74793315993156</v>
          </cell>
          <cell r="CN19">
            <v>-52.61328855031752</v>
          </cell>
          <cell r="CO19">
            <v>-1132.9079710416554</v>
          </cell>
          <cell r="CP19">
            <v>14892.383154137817</v>
          </cell>
          <cell r="CQ19">
            <v>-2980.731698216754</v>
          </cell>
          <cell r="CR19">
            <v>-375.12957406163332</v>
          </cell>
          <cell r="CS19">
            <v>-1031.4805127762957</v>
          </cell>
          <cell r="CT19">
            <v>-16032.894607307127</v>
          </cell>
          <cell r="CU19">
            <v>-926.01212587361806</v>
          </cell>
          <cell r="CV19">
            <v>-388.01128210991737</v>
          </cell>
          <cell r="CW19">
            <v>-1056.7746191539336</v>
          </cell>
          <cell r="CX19">
            <v>15604.507291203219</v>
          </cell>
          <cell r="CY19">
            <v>-2965.6492666270351</v>
          </cell>
          <cell r="CZ19">
            <v>-875.37997191440081</v>
          </cell>
          <cell r="DA19">
            <v>-809.79907055688091</v>
          </cell>
          <cell r="DB19">
            <v>-16543.765288526833</v>
          </cell>
          <cell r="DC19">
            <v>-832.75456349726301</v>
          </cell>
          <cell r="DD19">
            <v>-57.179205890453886</v>
          </cell>
          <cell r="DE19">
            <v>-1223.5932821446331</v>
          </cell>
          <cell r="DF19">
            <v>16092.991927063442</v>
          </cell>
          <cell r="DG19">
            <v>-3204.2865889378882</v>
          </cell>
        </row>
        <row r="20">
          <cell r="G20">
            <v>-968.87772065263209</v>
          </cell>
          <cell r="H20">
            <v>-64197.999560930359</v>
          </cell>
          <cell r="I20">
            <v>-346.49164028541315</v>
          </cell>
          <cell r="J20">
            <v>-11214.824584793327</v>
          </cell>
          <cell r="K20">
            <v>-43101.328501920492</v>
          </cell>
          <cell r="L20">
            <v>-16840.448306053811</v>
          </cell>
          <cell r="M20">
            <v>-1369.9588251623954</v>
          </cell>
          <cell r="N20">
            <v>-86123.346432825507</v>
          </cell>
          <cell r="O20">
            <v>-42673.102536693099</v>
          </cell>
          <cell r="P20">
            <v>-19574.71072761741</v>
          </cell>
          <cell r="Q20">
            <v>-37560.682847611686</v>
          </cell>
          <cell r="R20">
            <v>-49862.712788370307</v>
          </cell>
          <cell r="S20">
            <v>-10720.423081314239</v>
          </cell>
          <cell r="T20">
            <v>-33523.879469181993</v>
          </cell>
          <cell r="U20">
            <v>-17107.559714661304</v>
          </cell>
          <cell r="V20">
            <v>-12989.117795150692</v>
          </cell>
          <cell r="W20">
            <v>-8581.6953844252748</v>
          </cell>
          <cell r="X20">
            <v>-39618.388893925934</v>
          </cell>
          <cell r="Y20">
            <v>-9675.7751456241058</v>
          </cell>
          <cell r="Z20">
            <v>-96356.551731574946</v>
          </cell>
          <cell r="AA20">
            <v>-61386.826230833598</v>
          </cell>
          <cell r="AB20">
            <v>-43071.348620833545</v>
          </cell>
          <cell r="AC20">
            <v>-142923.60224387713</v>
          </cell>
          <cell r="AD20">
            <v>-70053.044526431317</v>
          </cell>
          <cell r="AE20">
            <v>-264438.11714597093</v>
          </cell>
          <cell r="AF20">
            <v>-140574.46145520904</v>
          </cell>
          <cell r="AG20">
            <v>-58701.710319205013</v>
          </cell>
          <cell r="AH20">
            <v>-77134.821609349863</v>
          </cell>
          <cell r="AI20">
            <v>-71183.138982386008</v>
          </cell>
          <cell r="AJ20">
            <v>-198113.93269462642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-9080.872566113836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-9171.2317326103366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-9262.4900174361064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-9354.6563672625398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0</v>
          </cell>
          <cell r="BY20">
            <v>0</v>
          </cell>
          <cell r="BZ20">
            <v>-9553.8288376168075</v>
          </cell>
          <cell r="CA20">
            <v>0</v>
          </cell>
          <cell r="CB20">
            <v>0</v>
          </cell>
          <cell r="CC20">
            <v>0</v>
          </cell>
          <cell r="CD20">
            <v>0</v>
          </cell>
          <cell r="CE20">
            <v>0</v>
          </cell>
          <cell r="CF20">
            <v>0</v>
          </cell>
          <cell r="CG20">
            <v>0</v>
          </cell>
          <cell r="CH20">
            <v>-9940.5319783393534</v>
          </cell>
          <cell r="CI20">
            <v>0</v>
          </cell>
          <cell r="CJ20">
            <v>0</v>
          </cell>
          <cell r="CK20">
            <v>0</v>
          </cell>
          <cell r="CL20">
            <v>0</v>
          </cell>
          <cell r="CM20">
            <v>0</v>
          </cell>
          <cell r="CN20">
            <v>0</v>
          </cell>
          <cell r="CO20">
            <v>0</v>
          </cell>
          <cell r="CP20">
            <v>-10342.887411099609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-10761.52868194423</v>
          </cell>
          <cell r="CY20">
            <v>0</v>
          </cell>
          <cell r="CZ20">
            <v>0</v>
          </cell>
          <cell r="DA20">
            <v>0</v>
          </cell>
          <cell r="DB20">
            <v>0</v>
          </cell>
          <cell r="DC20">
            <v>0</v>
          </cell>
          <cell r="DD20">
            <v>0</v>
          </cell>
          <cell r="DE20">
            <v>0</v>
          </cell>
          <cell r="DF20">
            <v>-11197.114980486465</v>
          </cell>
          <cell r="DG20">
            <v>0</v>
          </cell>
        </row>
        <row r="21">
          <cell r="G21">
            <v>-1042.7313364785659</v>
          </cell>
          <cell r="H21">
            <v>-64623.875232413055</v>
          </cell>
          <cell r="I21">
            <v>13553.063092511464</v>
          </cell>
          <cell r="J21">
            <v>-21004.582863071992</v>
          </cell>
          <cell r="K21">
            <v>-45817.644089959402</v>
          </cell>
          <cell r="L21">
            <v>-15439.08717812374</v>
          </cell>
          <cell r="M21">
            <v>1648.772313998099</v>
          </cell>
          <cell r="N21">
            <v>-90209.123039407234</v>
          </cell>
          <cell r="O21">
            <v>-40149.112398587466</v>
          </cell>
          <cell r="P21">
            <v>-19689.822496704932</v>
          </cell>
          <cell r="Q21">
            <v>-43489.519761188465</v>
          </cell>
          <cell r="R21">
            <v>-49922.902383888329</v>
          </cell>
          <cell r="S21">
            <v>-12170.881977163559</v>
          </cell>
          <cell r="T21">
            <v>-33975.808137815271</v>
          </cell>
          <cell r="U21">
            <v>-19570.497052733339</v>
          </cell>
          <cell r="V21">
            <v>-13469.350558747685</v>
          </cell>
          <cell r="W21">
            <v>-9566.2731370426627</v>
          </cell>
          <cell r="X21">
            <v>-41986.992501010674</v>
          </cell>
          <cell r="Y21">
            <v>-17274.488378591446</v>
          </cell>
          <cell r="Z21">
            <v>-103944.56853923133</v>
          </cell>
          <cell r="AA21">
            <v>-60757.125400595905</v>
          </cell>
          <cell r="AB21">
            <v>-37164.397143759583</v>
          </cell>
          <cell r="AC21">
            <v>-155149.04601417063</v>
          </cell>
          <cell r="AD21">
            <v>-68345.096321492383</v>
          </cell>
          <cell r="AE21">
            <v>-279992.51622008602</v>
          </cell>
          <cell r="AF21">
            <v>-135010.06314654107</v>
          </cell>
          <cell r="AG21">
            <v>-50910.507832703821</v>
          </cell>
          <cell r="AH21">
            <v>-77898.0299160047</v>
          </cell>
          <cell r="AI21">
            <v>-69932.059335914193</v>
          </cell>
          <cell r="AJ21">
            <v>-213665.74360952305</v>
          </cell>
          <cell r="AK21">
            <v>64654.900497801056</v>
          </cell>
          <cell r="AL21">
            <v>32662.902104281427</v>
          </cell>
          <cell r="AM21">
            <v>37031.240551347233</v>
          </cell>
          <cell r="AN21">
            <v>59745.866325139636</v>
          </cell>
          <cell r="AO21">
            <v>88308.41697772796</v>
          </cell>
          <cell r="AP21">
            <v>82641.334615120039</v>
          </cell>
          <cell r="AQ21">
            <v>87429.147373902902</v>
          </cell>
          <cell r="AR21">
            <v>96240.775927003182</v>
          </cell>
          <cell r="AS21">
            <v>97392.064237735249</v>
          </cell>
          <cell r="AT21">
            <v>58500.056604247213</v>
          </cell>
          <cell r="AU21">
            <v>95362.226669722935</v>
          </cell>
          <cell r="AV21">
            <v>101905.86664602478</v>
          </cell>
          <cell r="AW21">
            <v>103698.75395315578</v>
          </cell>
          <cell r="AX21">
            <v>87748.517738179115</v>
          </cell>
          <cell r="AY21">
            <v>104125.67459011881</v>
          </cell>
          <cell r="AZ21">
            <v>104969.93849040823</v>
          </cell>
          <cell r="BA21">
            <v>106983.83975502651</v>
          </cell>
          <cell r="BB21">
            <v>66299.749701105044</v>
          </cell>
          <cell r="BC21">
            <v>106094.78812683027</v>
          </cell>
          <cell r="BD21">
            <v>98054.376232617855</v>
          </cell>
          <cell r="BE21">
            <v>96742.416333992238</v>
          </cell>
          <cell r="BF21">
            <v>80479.608247002645</v>
          </cell>
          <cell r="BG21">
            <v>97212.778634283226</v>
          </cell>
          <cell r="BH21">
            <v>97572.252507960919</v>
          </cell>
          <cell r="BI21">
            <v>99021.194185699365</v>
          </cell>
          <cell r="BJ21">
            <v>62350.924301485604</v>
          </cell>
          <cell r="BK21">
            <v>98035.144335689896</v>
          </cell>
          <cell r="BL21">
            <v>99833.583672624285</v>
          </cell>
          <cell r="BM21">
            <v>101692.51316483651</v>
          </cell>
          <cell r="BN21">
            <v>84834.994190101803</v>
          </cell>
          <cell r="BO21">
            <v>102321.12762113925</v>
          </cell>
          <cell r="BP21">
            <v>102424.20774854219</v>
          </cell>
          <cell r="BQ21">
            <v>104328.13348320778</v>
          </cell>
          <cell r="BR21">
            <v>66274.800478911624</v>
          </cell>
          <cell r="BS21">
            <v>103267.16420084386</v>
          </cell>
          <cell r="BT21">
            <v>105496.68096295843</v>
          </cell>
          <cell r="BU21">
            <v>106753.32826561695</v>
          </cell>
          <cell r="BV21">
            <v>89041.622442694119</v>
          </cell>
          <cell r="BW21">
            <v>107303.29343995935</v>
          </cell>
          <cell r="BX21">
            <v>90263.950445779483</v>
          </cell>
          <cell r="BY21">
            <v>91507.697452464141</v>
          </cell>
          <cell r="BZ21">
            <v>58625.185819832026</v>
          </cell>
          <cell r="CA21">
            <v>90363.870691081727</v>
          </cell>
          <cell r="CB21">
            <v>91686.45182139767</v>
          </cell>
          <cell r="CC21">
            <v>93376.839582830187</v>
          </cell>
          <cell r="CD21">
            <v>75763.073516374061</v>
          </cell>
          <cell r="CE21">
            <v>94096.13850603906</v>
          </cell>
          <cell r="CF21">
            <v>94098.072337180929</v>
          </cell>
          <cell r="CG21">
            <v>95824.569082710834</v>
          </cell>
          <cell r="CH21">
            <v>61494.105319696289</v>
          </cell>
          <cell r="CI21">
            <v>94662.779779620716</v>
          </cell>
          <cell r="CJ21">
            <v>97024.416354222543</v>
          </cell>
          <cell r="CK21">
            <v>98250.87219321153</v>
          </cell>
          <cell r="CL21">
            <v>79768.826663346888</v>
          </cell>
          <cell r="CM21">
            <v>98874.069145815913</v>
          </cell>
          <cell r="CN21">
            <v>99236.5788810675</v>
          </cell>
          <cell r="CO21">
            <v>100588.78474896688</v>
          </cell>
          <cell r="CP21">
            <v>64775.090986706156</v>
          </cell>
          <cell r="CQ21">
            <v>99383.738268401386</v>
          </cell>
          <cell r="CR21">
            <v>101240.09132258728</v>
          </cell>
          <cell r="CS21">
            <v>103064.05089615929</v>
          </cell>
          <cell r="CT21">
            <v>83948.875875691505</v>
          </cell>
          <cell r="CU21">
            <v>103844.6199965319</v>
          </cell>
          <cell r="CV21">
            <v>103614.65412569969</v>
          </cell>
          <cell r="CW21">
            <v>105474.59382728158</v>
          </cell>
          <cell r="CX21">
            <v>68164.728257470852</v>
          </cell>
          <cell r="CY21">
            <v>104230.27170795179</v>
          </cell>
          <cell r="CZ21">
            <v>106538.32241167594</v>
          </cell>
          <cell r="DA21">
            <v>107849.79624669853</v>
          </cell>
          <cell r="DB21">
            <v>87831.753147505209</v>
          </cell>
          <cell r="DC21">
            <v>108517.24708499679</v>
          </cell>
          <cell r="DD21">
            <v>108822.40089612176</v>
          </cell>
          <cell r="DE21">
            <v>110284.73274753774</v>
          </cell>
          <cell r="DF21">
            <v>71411.416761451575</v>
          </cell>
          <cell r="DG21">
            <v>108991.18373198816</v>
          </cell>
        </row>
        <row r="22">
          <cell r="DG22">
            <v>3589786.3745270474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2"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448.76712328767127</v>
          </cell>
          <cell r="AL12">
            <v>453.69863013698631</v>
          </cell>
          <cell r="AM12">
            <v>453.69863013698631</v>
          </cell>
          <cell r="AN12">
            <v>447.54098360655735</v>
          </cell>
          <cell r="AO12">
            <v>447.54098360655735</v>
          </cell>
          <cell r="AP12">
            <v>452.45901639344265</v>
          </cell>
          <cell r="AQ12">
            <v>452.45901639344265</v>
          </cell>
          <cell r="AR12">
            <v>443.83561643835617</v>
          </cell>
          <cell r="AS12">
            <v>448.76712328767127</v>
          </cell>
          <cell r="AT12">
            <v>305.75342465753431</v>
          </cell>
          <cell r="AU12">
            <v>453.69863013698631</v>
          </cell>
          <cell r="AV12">
            <v>443.83561643835617</v>
          </cell>
          <cell r="AW12">
            <v>448.76712328767127</v>
          </cell>
          <cell r="AX12">
            <v>453.69863013698631</v>
          </cell>
          <cell r="AY12">
            <v>453.69863013698631</v>
          </cell>
          <cell r="AZ12">
            <v>443.83561643835617</v>
          </cell>
          <cell r="BA12">
            <v>448.76712328767127</v>
          </cell>
          <cell r="BB12">
            <v>305.75342465753431</v>
          </cell>
          <cell r="BC12">
            <v>453.69863013698631</v>
          </cell>
          <cell r="BD12">
            <v>447.54098360655735</v>
          </cell>
          <cell r="BE12">
            <v>447.54098360655735</v>
          </cell>
          <cell r="BF12">
            <v>452.45901639344265</v>
          </cell>
          <cell r="BG12">
            <v>452.45901639344265</v>
          </cell>
          <cell r="BH12">
            <v>443.83561643835617</v>
          </cell>
          <cell r="BI12">
            <v>448.76712328767127</v>
          </cell>
          <cell r="BJ12">
            <v>305.75342465753431</v>
          </cell>
          <cell r="BK12">
            <v>453.69863013698631</v>
          </cell>
          <cell r="BL12">
            <v>443.83561643835617</v>
          </cell>
          <cell r="BM12">
            <v>448.76712328767127</v>
          </cell>
          <cell r="BN12">
            <v>453.69863013698631</v>
          </cell>
          <cell r="BO12">
            <v>453.69863013698631</v>
          </cell>
          <cell r="BP12">
            <v>443.83561643835617</v>
          </cell>
          <cell r="BQ12">
            <v>448.76712328767127</v>
          </cell>
          <cell r="BR12">
            <v>305.75342465753431</v>
          </cell>
          <cell r="BS12">
            <v>453.69863013698631</v>
          </cell>
          <cell r="BT12">
            <v>447.54098360655735</v>
          </cell>
          <cell r="BU12">
            <v>447.54098360655735</v>
          </cell>
          <cell r="BV12">
            <v>452.45901639344265</v>
          </cell>
          <cell r="BW12">
            <v>452.45901639344265</v>
          </cell>
          <cell r="BX12">
            <v>443.83561643835617</v>
          </cell>
          <cell r="BY12">
            <v>448.76712328767127</v>
          </cell>
          <cell r="BZ12">
            <v>305.75342465753431</v>
          </cell>
          <cell r="CA12">
            <v>453.69863013698631</v>
          </cell>
          <cell r="CB12">
            <v>443.83561643835617</v>
          </cell>
          <cell r="CC12">
            <v>448.76712328767127</v>
          </cell>
          <cell r="CD12">
            <v>453.69863013698631</v>
          </cell>
          <cell r="CE12">
            <v>453.69863013698631</v>
          </cell>
          <cell r="CF12">
            <v>443.83561643835617</v>
          </cell>
          <cell r="CG12">
            <v>448.76712328767127</v>
          </cell>
          <cell r="CH12">
            <v>305.75342465753431</v>
          </cell>
          <cell r="CI12">
            <v>453.69863013698631</v>
          </cell>
          <cell r="CJ12">
            <v>447.54098360655735</v>
          </cell>
          <cell r="CK12">
            <v>447.54098360655735</v>
          </cell>
          <cell r="CL12">
            <v>452.45901639344265</v>
          </cell>
          <cell r="CM12">
            <v>452.45901639344265</v>
          </cell>
          <cell r="CN12">
            <v>443.83561643835617</v>
          </cell>
          <cell r="CO12">
            <v>448.76712328767127</v>
          </cell>
          <cell r="CP12">
            <v>305.75342465753431</v>
          </cell>
          <cell r="CQ12">
            <v>453.69863013698631</v>
          </cell>
          <cell r="CR12">
            <v>443.83561643835617</v>
          </cell>
          <cell r="CS12">
            <v>448.76712328767127</v>
          </cell>
          <cell r="CT12">
            <v>453.69863013698631</v>
          </cell>
          <cell r="CU12">
            <v>453.69863013698631</v>
          </cell>
          <cell r="CV12">
            <v>443.83561643835617</v>
          </cell>
          <cell r="CW12">
            <v>448.76712328767127</v>
          </cell>
          <cell r="CX12">
            <v>305.75342465753431</v>
          </cell>
          <cell r="CY12">
            <v>453.69863013698631</v>
          </cell>
          <cell r="CZ12">
            <v>447.54098360655735</v>
          </cell>
          <cell r="DA12">
            <v>447.54098360655735</v>
          </cell>
          <cell r="DB12">
            <v>452.45901639344265</v>
          </cell>
          <cell r="DC12">
            <v>452.45901639344265</v>
          </cell>
          <cell r="DD12">
            <v>443.83561643835617</v>
          </cell>
          <cell r="DE12">
            <v>448.76712328767127</v>
          </cell>
          <cell r="DF12">
            <v>305.75342465753431</v>
          </cell>
          <cell r="DG12">
            <v>453.69863013698631</v>
          </cell>
        </row>
        <row r="15">
          <cell r="G15">
            <v>0</v>
          </cell>
          <cell r="H15">
            <v>199.91653277686515</v>
          </cell>
          <cell r="I15">
            <v>199.91653277686515</v>
          </cell>
          <cell r="J15">
            <v>199.91653277686515</v>
          </cell>
          <cell r="K15">
            <v>199.91653277686515</v>
          </cell>
          <cell r="L15">
            <v>321.04523269037162</v>
          </cell>
          <cell r="M15">
            <v>321.51159466378704</v>
          </cell>
          <cell r="N15">
            <v>321.97591549643124</v>
          </cell>
          <cell r="O15">
            <v>322.43314088010874</v>
          </cell>
          <cell r="P15">
            <v>267.27652730470481</v>
          </cell>
          <cell r="Q15">
            <v>267.99163516638498</v>
          </cell>
          <cell r="R15">
            <v>268.70211005080722</v>
          </cell>
          <cell r="S15">
            <v>269.40024276547649</v>
          </cell>
          <cell r="T15">
            <v>249.58619053437565</v>
          </cell>
          <cell r="U15">
            <v>251.37141648645252</v>
          </cell>
          <cell r="V15">
            <v>253.18924116195294</v>
          </cell>
          <cell r="W15">
            <v>255.02021167001075</v>
          </cell>
          <cell r="X15">
            <v>269.04363106137896</v>
          </cell>
          <cell r="Y15">
            <v>270.56905996764698</v>
          </cell>
          <cell r="Z15">
            <v>272.1200440049011</v>
          </cell>
          <cell r="AA15">
            <v>273.67991875376913</v>
          </cell>
          <cell r="AB15">
            <v>277.61823989644694</v>
          </cell>
          <cell r="AC15">
            <v>278.99225610320173</v>
          </cell>
          <cell r="AD15">
            <v>280.38828443941793</v>
          </cell>
          <cell r="AE15">
            <v>281.79129825667479</v>
          </cell>
          <cell r="AF15">
            <v>287.15011462950901</v>
          </cell>
          <cell r="AG15">
            <v>288.57130695253363</v>
          </cell>
          <cell r="AH15">
            <v>290.01526717978692</v>
          </cell>
          <cell r="AI15">
            <v>291.46645273086017</v>
          </cell>
          <cell r="AJ15">
            <v>279.38861312319938</v>
          </cell>
          <cell r="AK15">
            <v>280.77139143977257</v>
          </cell>
          <cell r="AL15">
            <v>282.17632225729233</v>
          </cell>
          <cell r="AM15">
            <v>283.58828310230859</v>
          </cell>
          <cell r="AN15">
            <v>342.18747737453799</v>
          </cell>
          <cell r="AO15">
            <v>343.87642747438122</v>
          </cell>
          <cell r="AP15">
            <v>345.59241175898086</v>
          </cell>
          <cell r="AQ15">
            <v>347.31695900931396</v>
          </cell>
          <cell r="AR15">
            <v>357.81659450698106</v>
          </cell>
          <cell r="AS15">
            <v>359.58753650301776</v>
          </cell>
          <cell r="AT15">
            <v>361.386849492274</v>
          </cell>
          <cell r="AU15">
            <v>363.19516592827028</v>
          </cell>
          <cell r="AV15">
            <v>375.44444487550965</v>
          </cell>
          <cell r="AW15">
            <v>377.30263240737867</v>
          </cell>
          <cell r="AX15">
            <v>379.19058863070416</v>
          </cell>
          <cell r="AY15">
            <v>381.08799185597201</v>
          </cell>
          <cell r="AZ15">
            <v>384.47918360844216</v>
          </cell>
          <cell r="BA15">
            <v>386.38208678092423</v>
          </cell>
          <cell r="BB15">
            <v>388.31547500211201</v>
          </cell>
          <cell r="BC15">
            <v>390.25853755899413</v>
          </cell>
          <cell r="BD15">
            <v>393.41433406898631</v>
          </cell>
          <cell r="BE15">
            <v>395.35612686603321</v>
          </cell>
          <cell r="BF15">
            <v>397.32900097521554</v>
          </cell>
          <cell r="BG15">
            <v>399.31171996091842</v>
          </cell>
          <cell r="BH15">
            <v>402.53292461681849</v>
          </cell>
          <cell r="BI15">
            <v>404.52518118606349</v>
          </cell>
          <cell r="BJ15">
            <v>406.54935427078101</v>
          </cell>
          <cell r="BK15">
            <v>408.58365596273364</v>
          </cell>
          <cell r="BL15">
            <v>411.88849788665669</v>
          </cell>
          <cell r="BM15">
            <v>413.92705800317952</v>
          </cell>
          <cell r="BN15">
            <v>415.9982764311394</v>
          </cell>
          <cell r="BO15">
            <v>418.07985887298378</v>
          </cell>
          <cell r="BP15">
            <v>421.4705910481722</v>
          </cell>
          <cell r="BQ15">
            <v>423.55657582707835</v>
          </cell>
          <cell r="BR15">
            <v>425.67597867396807</v>
          </cell>
          <cell r="BS15">
            <v>427.80598664112688</v>
          </cell>
          <cell r="BT15">
            <v>430.61001697294466</v>
          </cell>
          <cell r="BU15">
            <v>432.73539817257245</v>
          </cell>
          <cell r="BV15">
            <v>434.8947992926432</v>
          </cell>
          <cell r="BW15">
            <v>437.06497608121038</v>
          </cell>
          <cell r="BX15">
            <v>439.9141546768451</v>
          </cell>
          <cell r="BY15">
            <v>442.09142220196253</v>
          </cell>
          <cell r="BZ15">
            <v>444.30357017055621</v>
          </cell>
          <cell r="CA15">
            <v>446.52678733974773</v>
          </cell>
          <cell r="CB15">
            <v>449.44009644622042</v>
          </cell>
          <cell r="CC15">
            <v>451.66451072358524</v>
          </cell>
          <cell r="CD15">
            <v>453.92456074877344</v>
          </cell>
          <cell r="CE15">
            <v>456.19591966805245</v>
          </cell>
          <cell r="CF15">
            <v>459.17482128374701</v>
          </cell>
          <cell r="CG15">
            <v>461.44741564358782</v>
          </cell>
          <cell r="CH15">
            <v>463.75641760984274</v>
          </cell>
          <cell r="CI15">
            <v>466.07697341711918</v>
          </cell>
          <cell r="CJ15">
            <v>469.14208721110015</v>
          </cell>
          <cell r="CK15">
            <v>471.45765288029196</v>
          </cell>
          <cell r="CL15">
            <v>473.81028265819987</v>
          </cell>
          <cell r="CM15">
            <v>476.17465233859627</v>
          </cell>
          <cell r="CN15">
            <v>478.50542254869123</v>
          </cell>
          <cell r="CO15">
            <v>480.87368987092191</v>
          </cell>
          <cell r="CP15">
            <v>483.27989750756814</v>
          </cell>
          <cell r="CQ15">
            <v>485.69814538536821</v>
          </cell>
          <cell r="CR15">
            <v>488.0755309996652</v>
          </cell>
          <cell r="CS15">
            <v>490.49116366834039</v>
          </cell>
          <cell r="CT15">
            <v>492.94549545771946</v>
          </cell>
          <cell r="CU15">
            <v>495.41210829307551</v>
          </cell>
          <cell r="CV15">
            <v>497.83704161965841</v>
          </cell>
          <cell r="CW15">
            <v>500.30098694170715</v>
          </cell>
          <cell r="CX15">
            <v>502.80440536687382</v>
          </cell>
          <cell r="CY15">
            <v>505.32035045893701</v>
          </cell>
          <cell r="CZ15">
            <v>507.81448280682031</v>
          </cell>
          <cell r="DA15">
            <v>510.32092555574553</v>
          </cell>
          <cell r="DB15">
            <v>512.86748768792654</v>
          </cell>
          <cell r="DC15">
            <v>515.42675746811574</v>
          </cell>
          <cell r="DD15">
            <v>517.94965810109261</v>
          </cell>
          <cell r="DE15">
            <v>520.51314681415215</v>
          </cell>
          <cell r="DF15">
            <v>523.11770334369555</v>
          </cell>
          <cell r="DG15">
            <v>525.73529261747808</v>
          </cell>
        </row>
        <row r="27">
          <cell r="G27">
            <v>1031.7582611475102</v>
          </cell>
          <cell r="H27">
            <v>1031.7582611475102</v>
          </cell>
          <cell r="I27">
            <v>1031.7582611475102</v>
          </cell>
          <cell r="J27">
            <v>1031.7582611475102</v>
          </cell>
          <cell r="K27">
            <v>1031.7582611475102</v>
          </cell>
          <cell r="L27">
            <v>1031.7582611475102</v>
          </cell>
          <cell r="M27">
            <v>1031.7582611475102</v>
          </cell>
          <cell r="N27">
            <v>1031.7582611475102</v>
          </cell>
          <cell r="O27">
            <v>1031.7582611475102</v>
          </cell>
          <cell r="P27">
            <v>1031.7582611475102</v>
          </cell>
          <cell r="Q27">
            <v>1031.7582611475102</v>
          </cell>
          <cell r="R27">
            <v>1031.7582611475102</v>
          </cell>
          <cell r="S27">
            <v>1031.7582611475102</v>
          </cell>
          <cell r="T27">
            <v>1031.7582611475102</v>
          </cell>
          <cell r="U27">
            <v>1031.7582611475102</v>
          </cell>
          <cell r="V27">
            <v>1031.7582611475102</v>
          </cell>
          <cell r="W27">
            <v>1031.7582611475102</v>
          </cell>
          <cell r="X27">
            <v>1031.7582611475102</v>
          </cell>
          <cell r="Y27">
            <v>1031.7582611475102</v>
          </cell>
          <cell r="Z27">
            <v>1031.7582611475102</v>
          </cell>
          <cell r="AA27">
            <v>1031.7582611475102</v>
          </cell>
          <cell r="AB27">
            <v>1031.7582611475102</v>
          </cell>
          <cell r="AC27">
            <v>1031.7582611475102</v>
          </cell>
          <cell r="AD27">
            <v>1031.7582611475102</v>
          </cell>
          <cell r="AE27">
            <v>1031.7582611475102</v>
          </cell>
          <cell r="AF27">
            <v>1031.7582611475102</v>
          </cell>
          <cell r="AG27">
            <v>1031.7582611475102</v>
          </cell>
          <cell r="AH27">
            <v>1031.7582611475102</v>
          </cell>
          <cell r="AI27">
            <v>1031.7582611475102</v>
          </cell>
          <cell r="AJ27">
            <v>1031.7582611475102</v>
          </cell>
          <cell r="AK27">
            <v>1031.7582611475102</v>
          </cell>
          <cell r="AL27">
            <v>1031.7582611475102</v>
          </cell>
          <cell r="AM27">
            <v>1031.7582611475102</v>
          </cell>
          <cell r="AN27">
            <v>1031.7582611475102</v>
          </cell>
          <cell r="AO27">
            <v>1031.7582611475102</v>
          </cell>
          <cell r="AP27">
            <v>1031.7582611475102</v>
          </cell>
          <cell r="AQ27">
            <v>1031.7582611475102</v>
          </cell>
          <cell r="AR27">
            <v>1031.7582611475102</v>
          </cell>
          <cell r="AS27">
            <v>1031.7582611475102</v>
          </cell>
          <cell r="AT27">
            <v>1031.7582611475102</v>
          </cell>
          <cell r="AU27">
            <v>1031.7582611475102</v>
          </cell>
          <cell r="AV27">
            <v>1031.7582611475102</v>
          </cell>
          <cell r="AW27">
            <v>1031.7582611475102</v>
          </cell>
          <cell r="AX27">
            <v>1031.7582611475102</v>
          </cell>
          <cell r="AY27">
            <v>1031.7582611475102</v>
          </cell>
          <cell r="AZ27">
            <v>1031.7582611475102</v>
          </cell>
          <cell r="BA27">
            <v>1031.7582611475102</v>
          </cell>
          <cell r="BB27">
            <v>1031.7582611475102</v>
          </cell>
          <cell r="BC27">
            <v>1031.7582611475102</v>
          </cell>
          <cell r="BD27">
            <v>1031.7582611475102</v>
          </cell>
          <cell r="BE27">
            <v>1031.7582611475102</v>
          </cell>
          <cell r="BF27">
            <v>1031.7582611475102</v>
          </cell>
          <cell r="BG27">
            <v>1031.7582611475102</v>
          </cell>
          <cell r="BH27">
            <v>1031.7582611475102</v>
          </cell>
          <cell r="BI27">
            <v>1031.7582611475102</v>
          </cell>
          <cell r="BJ27">
            <v>1031.7582611475102</v>
          </cell>
          <cell r="BK27">
            <v>1031.7582611475102</v>
          </cell>
          <cell r="BL27">
            <v>1031.7582611475102</v>
          </cell>
          <cell r="BM27">
            <v>1031.7582611475102</v>
          </cell>
          <cell r="BN27">
            <v>1031.7582611475102</v>
          </cell>
          <cell r="BO27">
            <v>1031.7582611475102</v>
          </cell>
          <cell r="BP27">
            <v>1031.7582611475102</v>
          </cell>
          <cell r="BQ27">
            <v>1031.7582611475102</v>
          </cell>
          <cell r="BR27">
            <v>1031.7582611475102</v>
          </cell>
          <cell r="BS27">
            <v>1031.7582611475102</v>
          </cell>
          <cell r="BT27">
            <v>1031.7582611475102</v>
          </cell>
          <cell r="BU27">
            <v>1031.7582611475102</v>
          </cell>
          <cell r="BV27">
            <v>1031.7582611475102</v>
          </cell>
          <cell r="BW27">
            <v>1031.7582611475102</v>
          </cell>
          <cell r="BX27">
            <v>1031.7582611475102</v>
          </cell>
          <cell r="BY27">
            <v>1031.7582611475102</v>
          </cell>
          <cell r="BZ27">
            <v>1031.7582611475102</v>
          </cell>
          <cell r="CA27">
            <v>1031.7582611475102</v>
          </cell>
          <cell r="CB27">
            <v>1031.7582611475102</v>
          </cell>
          <cell r="CC27">
            <v>1031.7582611475102</v>
          </cell>
          <cell r="CD27">
            <v>1031.7582611475102</v>
          </cell>
          <cell r="CE27">
            <v>1031.7582611475102</v>
          </cell>
          <cell r="CF27">
            <v>1031.7582611475102</v>
          </cell>
          <cell r="CG27">
            <v>1031.7582611475102</v>
          </cell>
          <cell r="CH27">
            <v>1031.7582611475102</v>
          </cell>
          <cell r="CI27">
            <v>1031.7582611475102</v>
          </cell>
          <cell r="CJ27">
            <v>1031.7582611475102</v>
          </cell>
          <cell r="CK27">
            <v>1031.7582611475102</v>
          </cell>
          <cell r="CL27">
            <v>1031.7582611475102</v>
          </cell>
          <cell r="CM27">
            <v>1031.7582611475102</v>
          </cell>
          <cell r="CN27">
            <v>1031.7582611475102</v>
          </cell>
          <cell r="CO27">
            <v>1031.7582611475102</v>
          </cell>
          <cell r="CP27">
            <v>1031.7582611475102</v>
          </cell>
          <cell r="CQ27">
            <v>1031.7582611475102</v>
          </cell>
          <cell r="CR27">
            <v>1031.7582611475102</v>
          </cell>
          <cell r="CS27">
            <v>1031.7582611475102</v>
          </cell>
          <cell r="CT27">
            <v>1031.7582611475102</v>
          </cell>
          <cell r="CU27">
            <v>1031.7582611475102</v>
          </cell>
          <cell r="CV27">
            <v>1031.7582611475102</v>
          </cell>
          <cell r="CW27">
            <v>1031.7582611475102</v>
          </cell>
          <cell r="CX27">
            <v>1031.7582611475102</v>
          </cell>
          <cell r="CY27">
            <v>1031.7582611475102</v>
          </cell>
          <cell r="CZ27">
            <v>1031.7582611475102</v>
          </cell>
          <cell r="DA27">
            <v>1031.7582611475102</v>
          </cell>
          <cell r="DB27">
            <v>1031.7582611475102</v>
          </cell>
          <cell r="DC27">
            <v>1031.7582611475102</v>
          </cell>
          <cell r="DD27">
            <v>1031.7582611475102</v>
          </cell>
          <cell r="DE27">
            <v>1031.7582611475102</v>
          </cell>
          <cell r="DF27">
            <v>1031.7582611475102</v>
          </cell>
          <cell r="DG27">
            <v>1031.7582611475102</v>
          </cell>
        </row>
        <row r="30"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41384.504282769856</v>
          </cell>
          <cell r="AL30">
            <v>45604.814170067715</v>
          </cell>
          <cell r="AM30">
            <v>45604.814170067715</v>
          </cell>
          <cell r="AN30">
            <v>43464.599743670929</v>
          </cell>
          <cell r="AO30">
            <v>43464.599743670929</v>
          </cell>
          <cell r="AP30">
            <v>47018.188997439203</v>
          </cell>
          <cell r="AQ30">
            <v>47018.188997439203</v>
          </cell>
          <cell r="AR30">
            <v>44562.387479769917</v>
          </cell>
          <cell r="AS30">
            <v>45057.52511843403</v>
          </cell>
          <cell r="AT30">
            <v>31926.474941061831</v>
          </cell>
          <cell r="AU30">
            <v>47374.769267382064</v>
          </cell>
          <cell r="AV30">
            <v>44777.664713971695</v>
          </cell>
          <cell r="AW30">
            <v>45275.194321904717</v>
          </cell>
          <cell r="AX30">
            <v>47603.63288703125</v>
          </cell>
          <cell r="AY30">
            <v>47603.63288703125</v>
          </cell>
          <cell r="AZ30">
            <v>45658.434679018203</v>
          </cell>
          <cell r="BA30">
            <v>46165.750619896178</v>
          </cell>
          <cell r="BB30">
            <v>32711.731867812156</v>
          </cell>
          <cell r="BC30">
            <v>48539.989223205128</v>
          </cell>
          <cell r="BD30">
            <v>46945.207021480965</v>
          </cell>
          <cell r="BE30">
            <v>46945.207021480965</v>
          </cell>
          <cell r="BF30">
            <v>49359.531954014281</v>
          </cell>
          <cell r="BG30">
            <v>49359.531954014281</v>
          </cell>
          <cell r="BH30">
            <v>47472.289221945757</v>
          </cell>
          <cell r="BI30">
            <v>47999.759102189601</v>
          </cell>
          <cell r="BJ30">
            <v>34011.257878122924</v>
          </cell>
          <cell r="BK30">
            <v>50468.318141730779</v>
          </cell>
          <cell r="BL30">
            <v>48406.062047879765</v>
          </cell>
          <cell r="BM30">
            <v>48943.907181745097</v>
          </cell>
          <cell r="BN30">
            <v>51461.02240823485</v>
          </cell>
          <cell r="BO30">
            <v>51461.02240823485</v>
          </cell>
          <cell r="BP30">
            <v>49358.202045583734</v>
          </cell>
          <cell r="BQ30">
            <v>49906.626512756891</v>
          </cell>
          <cell r="BR30">
            <v>35362.409643324892</v>
          </cell>
          <cell r="BS30">
            <v>52473.253019127245</v>
          </cell>
          <cell r="BT30">
            <v>50749.24336604173</v>
          </cell>
          <cell r="BU30">
            <v>50749.24336604173</v>
          </cell>
          <cell r="BV30">
            <v>53359.204453438164</v>
          </cell>
          <cell r="BW30">
            <v>53359.204453438164</v>
          </cell>
          <cell r="BX30">
            <v>51319.035780697741</v>
          </cell>
          <cell r="BY30">
            <v>51889.247289372164</v>
          </cell>
          <cell r="BZ30">
            <v>36767.238079326569</v>
          </cell>
          <cell r="CA30">
            <v>54557.837149968451</v>
          </cell>
          <cell r="CB30">
            <v>52328.473535871301</v>
          </cell>
          <cell r="CC30">
            <v>52909.90101960321</v>
          </cell>
          <cell r="CD30">
            <v>55630.98164346852</v>
          </cell>
          <cell r="CE30">
            <v>55630.98164346852</v>
          </cell>
          <cell r="CF30">
            <v>53357.766780651553</v>
          </cell>
          <cell r="CG30">
            <v>53950.630855992131</v>
          </cell>
          <cell r="CH30">
            <v>38227.875577960149</v>
          </cell>
          <cell r="CI30">
            <v>56725.234728586016</v>
          </cell>
          <cell r="CJ30">
            <v>54861.526141470655</v>
          </cell>
          <cell r="CK30">
            <v>54861.526141470655</v>
          </cell>
          <cell r="CL30">
            <v>57682.976057317734</v>
          </cell>
          <cell r="CM30">
            <v>57682.976057317734</v>
          </cell>
          <cell r="CN30">
            <v>55477.489639219668</v>
          </cell>
          <cell r="CO30">
            <v>56093.906190766567</v>
          </cell>
          <cell r="CP30">
            <v>39746.539243743173</v>
          </cell>
          <cell r="CQ30">
            <v>58978.735652005991</v>
          </cell>
          <cell r="CR30">
            <v>56568.723559579899</v>
          </cell>
          <cell r="CS30">
            <v>57197.264932464132</v>
          </cell>
          <cell r="CT30">
            <v>60138.838557562289</v>
          </cell>
          <cell r="CU30">
            <v>60138.838557562289</v>
          </cell>
          <cell r="CV30">
            <v>57681.421887877281</v>
          </cell>
          <cell r="CW30">
            <v>58322.326575520368</v>
          </cell>
          <cell r="CX30">
            <v>41325.534259225868</v>
          </cell>
          <cell r="CY30">
            <v>61321.760513689987</v>
          </cell>
          <cell r="CZ30">
            <v>59307.032990864893</v>
          </cell>
          <cell r="DA30">
            <v>59307.032990864893</v>
          </cell>
          <cell r="DB30">
            <v>62357.108973252238</v>
          </cell>
          <cell r="DC30">
            <v>62357.108973252238</v>
          </cell>
          <cell r="DD30">
            <v>59972.908879697563</v>
          </cell>
          <cell r="DE30">
            <v>60639.274533916432</v>
          </cell>
          <cell r="DF30">
            <v>42967.257384032222</v>
          </cell>
          <cell r="DG30">
            <v>63757.865795660706</v>
          </cell>
        </row>
        <row r="37"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1852.6430925999766</v>
          </cell>
          <cell r="AL37">
            <v>1882.3349609612794</v>
          </cell>
          <cell r="AM37">
            <v>1891.7146210464743</v>
          </cell>
          <cell r="AN37">
            <v>1903.3932142517071</v>
          </cell>
          <cell r="AO37">
            <v>1912.8020412458118</v>
          </cell>
          <cell r="AP37">
            <v>1943.4863939392931</v>
          </cell>
          <cell r="AQ37">
            <v>1953.1992439467967</v>
          </cell>
          <cell r="AR37">
            <v>1954.3207291815818</v>
          </cell>
          <cell r="AS37">
            <v>1985.906735591351</v>
          </cell>
          <cell r="AT37">
            <v>1359.8689417794305</v>
          </cell>
          <cell r="AU37">
            <v>2028.0614121948647</v>
          </cell>
          <cell r="AV37">
            <v>2023.7586654802228</v>
          </cell>
          <cell r="AW37">
            <v>2056.5461744950812</v>
          </cell>
          <cell r="AX37">
            <v>2089.727828369465</v>
          </cell>
          <cell r="AY37">
            <v>2100.3639342792112</v>
          </cell>
          <cell r="AZ37">
            <v>2095.8621299932511</v>
          </cell>
          <cell r="BA37">
            <v>2129.7708940254979</v>
          </cell>
          <cell r="BB37">
            <v>1458.4056539011638</v>
          </cell>
          <cell r="BC37">
            <v>2175.0519370231541</v>
          </cell>
          <cell r="BD37">
            <v>2188.5010823135567</v>
          </cell>
          <cell r="BE37">
            <v>2199.3407115843502</v>
          </cell>
          <cell r="BF37">
            <v>2234.6436402548957</v>
          </cell>
          <cell r="BG37">
            <v>2245.8337455661931</v>
          </cell>
          <cell r="BH37">
            <v>2247.3173658253804</v>
          </cell>
          <cell r="BI37">
            <v>2283.8382818326886</v>
          </cell>
          <cell r="BJ37">
            <v>1564.0185571584957</v>
          </cell>
          <cell r="BK37">
            <v>2332.7290388090892</v>
          </cell>
          <cell r="BL37">
            <v>2327.8619144107683</v>
          </cell>
          <cell r="BM37">
            <v>2365.6605540034429</v>
          </cell>
          <cell r="BN37">
            <v>2403.9162284259041</v>
          </cell>
          <cell r="BO37">
            <v>2416.2384735619776</v>
          </cell>
          <cell r="BP37">
            <v>2411.2258183624031</v>
          </cell>
          <cell r="BQ37">
            <v>2450.4075768621592</v>
          </cell>
          <cell r="BR37">
            <v>1678.0866228746779</v>
          </cell>
          <cell r="BS37">
            <v>2502.8583122057876</v>
          </cell>
          <cell r="BT37">
            <v>2481.4121456496864</v>
          </cell>
          <cell r="BU37">
            <v>2493.9985605053434</v>
          </cell>
          <cell r="BV37">
            <v>2534.3353097491795</v>
          </cell>
          <cell r="BW37">
            <v>2547.3317894078814</v>
          </cell>
          <cell r="BX37">
            <v>2511.3867198499097</v>
          </cell>
          <cell r="BY37">
            <v>2552.2424685928299</v>
          </cell>
          <cell r="BZ37">
            <v>1747.8572588489515</v>
          </cell>
          <cell r="CA37">
            <v>2606.9688067908601</v>
          </cell>
          <cell r="CB37">
            <v>2563.2186824180235</v>
          </cell>
          <cell r="CC37">
            <v>2604.978098016401</v>
          </cell>
          <cell r="CD37">
            <v>2647.2468195735992</v>
          </cell>
          <cell r="CE37">
            <v>2660.9600794815178</v>
          </cell>
          <cell r="CF37">
            <v>2616.2279999982479</v>
          </cell>
          <cell r="CG37">
            <v>2658.7730674200279</v>
          </cell>
          <cell r="CH37">
            <v>1820.8015615532665</v>
          </cell>
          <cell r="CI37">
            <v>2715.7500997969469</v>
          </cell>
          <cell r="CJ37">
            <v>2692.4801687971008</v>
          </cell>
          <cell r="CK37">
            <v>2706.1376167701424</v>
          </cell>
          <cell r="CL37">
            <v>2749.9058516014829</v>
          </cell>
          <cell r="CM37">
            <v>2764.0082631804321</v>
          </cell>
          <cell r="CN37">
            <v>2671.6997586527395</v>
          </cell>
          <cell r="CO37">
            <v>2715.1255670496198</v>
          </cell>
          <cell r="CP37">
            <v>1859.3785419851761</v>
          </cell>
          <cell r="CQ37">
            <v>2773.2661501111929</v>
          </cell>
          <cell r="CR37">
            <v>2673.3242874192729</v>
          </cell>
          <cell r="CS37">
            <v>2716.7765009070399</v>
          </cell>
          <cell r="CT37">
            <v>2760.7554955574196</v>
          </cell>
          <cell r="CU37">
            <v>2774.952436387754</v>
          </cell>
          <cell r="CV37">
            <v>2674.949803981573</v>
          </cell>
          <cell r="CW37">
            <v>2718.4284386158602</v>
          </cell>
          <cell r="CX37">
            <v>1861.6404220955214</v>
          </cell>
          <cell r="CY37">
            <v>2776.6397480117766</v>
          </cell>
          <cell r="CZ37">
            <v>2699.0348013250295</v>
          </cell>
          <cell r="DA37">
            <v>2712.7254972877022</v>
          </cell>
          <cell r="DB37">
            <v>2756.6002824658349</v>
          </cell>
          <cell r="DC37">
            <v>2770.7370252635346</v>
          </cell>
          <cell r="DD37">
            <v>2678.2038028963589</v>
          </cell>
          <cell r="DE37">
            <v>2721.7353280296402</v>
          </cell>
          <cell r="DF37">
            <v>1863.9050537174699</v>
          </cell>
          <cell r="DG37">
            <v>2780.0174497964354</v>
          </cell>
        </row>
        <row r="42"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0</v>
          </cell>
          <cell r="X42">
            <v>0</v>
          </cell>
          <cell r="Y42">
            <v>0</v>
          </cell>
          <cell r="Z42">
            <v>0</v>
          </cell>
          <cell r="AA42">
            <v>0</v>
          </cell>
          <cell r="AB42">
            <v>0</v>
          </cell>
          <cell r="AC42">
            <v>0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4622.7087969041604</v>
          </cell>
          <cell r="AL42">
            <v>8070.8804067462415</v>
          </cell>
          <cell r="AM42">
            <v>5492.3168594622321</v>
          </cell>
          <cell r="AN42">
            <v>5504.8474149418471</v>
          </cell>
          <cell r="AO42">
            <v>4646.544698941505</v>
          </cell>
          <cell r="AP42">
            <v>8112.4959882553267</v>
          </cell>
          <cell r="AQ42">
            <v>5520.6366893221339</v>
          </cell>
          <cell r="AR42">
            <v>5533.231855640548</v>
          </cell>
          <cell r="AS42">
            <v>4670.5035051570921</v>
          </cell>
          <cell r="AT42">
            <v>9851.8810370245592</v>
          </cell>
          <cell r="AU42">
            <v>6704.3060471862991</v>
          </cell>
          <cell r="AV42">
            <v>6719.6017194911219</v>
          </cell>
          <cell r="AW42">
            <v>5671.8974015430604</v>
          </cell>
          <cell r="AX42">
            <v>9902.6799260740627</v>
          </cell>
          <cell r="AY42">
            <v>6738.8752119747305</v>
          </cell>
          <cell r="AZ42">
            <v>6853.9937538809436</v>
          </cell>
          <cell r="BA42">
            <v>5785.335349573922</v>
          </cell>
          <cell r="BB42">
            <v>10100.733524595544</v>
          </cell>
          <cell r="BC42">
            <v>6873.6527162142256</v>
          </cell>
          <cell r="BD42">
            <v>6991.0736289585629</v>
          </cell>
          <cell r="BE42">
            <v>5901.0420565654003</v>
          </cell>
          <cell r="BF42">
            <v>10302.748195087455</v>
          </cell>
          <cell r="BG42">
            <v>7011.1257705385106</v>
          </cell>
          <cell r="BH42">
            <v>7130.8951015377352</v>
          </cell>
          <cell r="BI42">
            <v>6019.0628976967091</v>
          </cell>
          <cell r="BJ42">
            <v>10508.803158989205</v>
          </cell>
          <cell r="BK42">
            <v>7151.3482859492815</v>
          </cell>
          <cell r="BL42">
            <v>7273.5130035684888</v>
          </cell>
          <cell r="BM42">
            <v>6139.4441556506445</v>
          </cell>
          <cell r="BN42">
            <v>10718.97922216899</v>
          </cell>
          <cell r="BO42">
            <v>7294.3752516682689</v>
          </cell>
          <cell r="BP42">
            <v>7418.9832636398605</v>
          </cell>
          <cell r="BQ42">
            <v>6262.2330387636575</v>
          </cell>
          <cell r="BR42">
            <v>10933.358806612372</v>
          </cell>
          <cell r="BS42">
            <v>7440.2627567016352</v>
          </cell>
          <cell r="BT42">
            <v>7567.3629289126593</v>
          </cell>
          <cell r="BU42">
            <v>6387.477699538932</v>
          </cell>
          <cell r="BV42">
            <v>11152.025982744621</v>
          </cell>
          <cell r="BW42">
            <v>7589.0680118356686</v>
          </cell>
          <cell r="BX42">
            <v>7718.7101874909122</v>
          </cell>
          <cell r="BY42">
            <v>6515.2272535297107</v>
          </cell>
          <cell r="BZ42">
            <v>11375.066502399512</v>
          </cell>
          <cell r="CA42">
            <v>7740.8493720723818</v>
          </cell>
          <cell r="CB42">
            <v>7873.0843912407308</v>
          </cell>
          <cell r="CC42">
            <v>6645.5317986003065</v>
          </cell>
          <cell r="CD42">
            <v>11602.567832447505</v>
          </cell>
          <cell r="CE42">
            <v>7895.6663595138316</v>
          </cell>
          <cell r="CF42">
            <v>8030.5460790655461</v>
          </cell>
          <cell r="CG42">
            <v>6778.442434572311</v>
          </cell>
          <cell r="CH42">
            <v>11834.619189096453</v>
          </cell>
          <cell r="CI42">
            <v>8053.5796867041081</v>
          </cell>
          <cell r="CJ42">
            <v>8191.1570006468573</v>
          </cell>
          <cell r="CK42">
            <v>6914.0112832637578</v>
          </cell>
          <cell r="CL42">
            <v>12071.311572878381</v>
          </cell>
          <cell r="CM42">
            <v>8214.651280438191</v>
          </cell>
          <cell r="CN42">
            <v>8354.9801406597944</v>
          </cell>
          <cell r="CO42">
            <v>7052.2915089290327</v>
          </cell>
          <cell r="CP42">
            <v>12312.737804335949</v>
          </cell>
          <cell r="CQ42">
            <v>8378.9443060469548</v>
          </cell>
          <cell r="CR42">
            <v>8522.0797434729902</v>
          </cell>
          <cell r="CS42">
            <v>7193.3373391076129</v>
          </cell>
          <cell r="CT42">
            <v>12558.99256042267</v>
          </cell>
          <cell r="CU42">
            <v>8546.5231921678933</v>
          </cell>
          <cell r="CV42">
            <v>8692.5213383424489</v>
          </cell>
          <cell r="CW42">
            <v>7337.2040858897653</v>
          </cell>
          <cell r="CX42">
            <v>12810.172411631125</v>
          </cell>
          <cell r="CY42">
            <v>8717.453656011252</v>
          </cell>
          <cell r="CZ42">
            <v>8866.3717651092993</v>
          </cell>
          <cell r="DA42">
            <v>7483.9481676075602</v>
          </cell>
          <cell r="DB42">
            <v>13066.375859863747</v>
          </cell>
          <cell r="DC42">
            <v>8891.8027291314775</v>
          </cell>
          <cell r="DD42">
            <v>9043.6992004114836</v>
          </cell>
          <cell r="DE42">
            <v>7633.6271309597096</v>
          </cell>
          <cell r="DF42">
            <v>13327.703377061021</v>
          </cell>
          <cell r="DG42">
            <v>9069.6387837141083</v>
          </cell>
        </row>
        <row r="44"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Z44">
            <v>0</v>
          </cell>
          <cell r="AA44">
            <v>0</v>
          </cell>
          <cell r="AB44">
            <v>0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2413.2364544151978</v>
          </cell>
          <cell r="AL44">
            <v>2432.4062195103561</v>
          </cell>
          <cell r="AM44">
            <v>2451.7565900593277</v>
          </cell>
          <cell r="AN44">
            <v>2433.254226008301</v>
          </cell>
          <cell r="AO44">
            <v>2450.3199081900902</v>
          </cell>
          <cell r="AP44">
            <v>2467.709535293583</v>
          </cell>
          <cell r="AQ44">
            <v>2485.237507927046</v>
          </cell>
          <cell r="AR44">
            <v>2466.6002809586571</v>
          </cell>
          <cell r="AS44">
            <v>2483.9036678617731</v>
          </cell>
          <cell r="AT44">
            <v>2501.5355824533663</v>
          </cell>
          <cell r="AU44">
            <v>2519.3078425353006</v>
          </cell>
          <cell r="AV44">
            <v>2500.678559574143</v>
          </cell>
          <cell r="AW44">
            <v>2518.1768835604171</v>
          </cell>
          <cell r="AX44">
            <v>2536.00712281496</v>
          </cell>
          <cell r="AY44">
            <v>2553.9789686782797</v>
          </cell>
          <cell r="AZ44">
            <v>2550.6921307656257</v>
          </cell>
          <cell r="BA44">
            <v>2568.5404212316253</v>
          </cell>
          <cell r="BB44">
            <v>2586.7272652712591</v>
          </cell>
          <cell r="BC44">
            <v>2605.0585480518448</v>
          </cell>
          <cell r="BD44">
            <v>2601.8557082585339</v>
          </cell>
          <cell r="BE44">
            <v>2620.0122009185634</v>
          </cell>
          <cell r="BF44">
            <v>2638.5126964593846</v>
          </cell>
          <cell r="BG44">
            <v>2657.1597190128814</v>
          </cell>
          <cell r="BH44">
            <v>2653.7400928485563</v>
          </cell>
          <cell r="BI44">
            <v>2672.3094542493823</v>
          </cell>
          <cell r="BJ44">
            <v>2691.2310467882176</v>
          </cell>
          <cell r="BK44">
            <v>2710.3029133931391</v>
          </cell>
          <cell r="BL44">
            <v>2706.814894705527</v>
          </cell>
          <cell r="BM44">
            <v>2725.7556433343698</v>
          </cell>
          <cell r="BN44">
            <v>2745.055667723982</v>
          </cell>
          <cell r="BO44">
            <v>2764.5089716610019</v>
          </cell>
          <cell r="BP44">
            <v>2760.9511925996376</v>
          </cell>
          <cell r="BQ44">
            <v>2780.2707562010569</v>
          </cell>
          <cell r="BR44">
            <v>2799.9567810784611</v>
          </cell>
          <cell r="BS44">
            <v>2819.7991510942211</v>
          </cell>
          <cell r="BT44">
            <v>2816.3322942986142</v>
          </cell>
          <cell r="BU44">
            <v>2835.9854658666341</v>
          </cell>
          <cell r="BV44">
            <v>2856.0109972159553</v>
          </cell>
          <cell r="BW44">
            <v>2876.1951341161057</v>
          </cell>
          <cell r="BX44">
            <v>2872.4936207806622</v>
          </cell>
          <cell r="BY44">
            <v>2903.3804339010749</v>
          </cell>
          <cell r="BZ44">
            <v>2934.8417763372863</v>
          </cell>
          <cell r="CA44">
            <v>2966.6618763641923</v>
          </cell>
          <cell r="CB44">
            <v>2973.8926455942201</v>
          </cell>
          <cell r="CC44">
            <v>3005.8697632177827</v>
          </cell>
          <cell r="CD44">
            <v>3038.4416910419923</v>
          </cell>
          <cell r="CE44">
            <v>3071.3850405998478</v>
          </cell>
          <cell r="CF44">
            <v>3078.8710559836954</v>
          </cell>
          <cell r="CG44">
            <v>3111.9769658593696</v>
          </cell>
          <cell r="CH44">
            <v>3145.6986827357741</v>
          </cell>
          <cell r="CI44">
            <v>3179.8049325330217</v>
          </cell>
          <cell r="CJ44">
            <v>3187.7386562691877</v>
          </cell>
          <cell r="CK44">
            <v>3221.9539219296303</v>
          </cell>
          <cell r="CL44">
            <v>3256.8046563869084</v>
          </cell>
          <cell r="CM44">
            <v>3292.0520466514372</v>
          </cell>
          <cell r="CN44">
            <v>3300.0759029702945</v>
          </cell>
          <cell r="CO44">
            <v>3335.5603430264287</v>
          </cell>
          <cell r="CP44">
            <v>3371.7048334084893</v>
          </cell>
          <cell r="CQ44">
            <v>3408.2614838982327</v>
          </cell>
          <cell r="CR44">
            <v>3416.5685823451449</v>
          </cell>
          <cell r="CS44">
            <v>3453.3056231352612</v>
          </cell>
          <cell r="CT44">
            <v>3490.7260140278086</v>
          </cell>
          <cell r="CU44">
            <v>3528.5731142798404</v>
          </cell>
          <cell r="CV44">
            <v>3537.1734533019285</v>
          </cell>
          <cell r="CW44">
            <v>3575.2073116319352</v>
          </cell>
          <cell r="CX44">
            <v>3613.9486423229901</v>
          </cell>
          <cell r="CY44">
            <v>3653.1317452139183</v>
          </cell>
          <cell r="CZ44">
            <v>3662.2464357855993</v>
          </cell>
          <cell r="DA44">
            <v>3701.5547819914523</v>
          </cell>
          <cell r="DB44">
            <v>3741.5931890922566</v>
          </cell>
          <cell r="DC44">
            <v>3782.0872958199689</v>
          </cell>
          <cell r="DD44">
            <v>3791.3055355734687</v>
          </cell>
          <cell r="DE44">
            <v>3832.0719779121005</v>
          </cell>
          <cell r="DF44">
            <v>3873.5967217347038</v>
          </cell>
          <cell r="DG44">
            <v>3915.5949773624125</v>
          </cell>
        </row>
        <row r="48"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0</v>
          </cell>
          <cell r="Q48">
            <v>0</v>
          </cell>
          <cell r="R48">
            <v>0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0</v>
          </cell>
          <cell r="X48">
            <v>0</v>
          </cell>
          <cell r="Y48">
            <v>0</v>
          </cell>
          <cell r="Z48">
            <v>0</v>
          </cell>
          <cell r="AA48">
            <v>0</v>
          </cell>
          <cell r="AB48">
            <v>0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0</v>
          </cell>
          <cell r="AH48">
            <v>0</v>
          </cell>
          <cell r="AI48">
            <v>0</v>
          </cell>
          <cell r="AJ48">
            <v>0</v>
          </cell>
          <cell r="AK48">
            <v>50273.092626689191</v>
          </cell>
          <cell r="AL48">
            <v>57990.435757285595</v>
          </cell>
          <cell r="AM48">
            <v>55440.602240635752</v>
          </cell>
          <cell r="AN48">
            <v>53306.094598872784</v>
          </cell>
          <cell r="AO48">
            <v>52474.266392048339</v>
          </cell>
          <cell r="AP48">
            <v>59541.880914927409</v>
          </cell>
          <cell r="AQ48">
            <v>56977.262438635174</v>
          </cell>
          <cell r="AR48">
            <v>54516.540345550704</v>
          </cell>
          <cell r="AS48">
            <v>54197.839027044247</v>
          </cell>
          <cell r="AT48">
            <v>45639.760502319186</v>
          </cell>
          <cell r="AU48">
            <v>58626.444569298532</v>
          </cell>
          <cell r="AV48">
            <v>56021.703658517181</v>
          </cell>
          <cell r="AW48">
            <v>55521.814781503272</v>
          </cell>
          <cell r="AX48">
            <v>62132.047764289746</v>
          </cell>
          <cell r="AY48">
            <v>58996.85100196347</v>
          </cell>
          <cell r="AZ48">
            <v>57158.982693658021</v>
          </cell>
          <cell r="BA48">
            <v>56649.397284727223</v>
          </cell>
          <cell r="BB48">
            <v>46857.598311580121</v>
          </cell>
          <cell r="BC48">
            <v>60193.752424494356</v>
          </cell>
          <cell r="BD48">
            <v>58726.637441011626</v>
          </cell>
          <cell r="BE48">
            <v>57665.601990549279</v>
          </cell>
          <cell r="BF48">
            <v>64535.436485816012</v>
          </cell>
          <cell r="BG48">
            <v>61273.651189131866</v>
          </cell>
          <cell r="BH48">
            <v>59504.241782157427</v>
          </cell>
          <cell r="BI48">
            <v>58974.969735968378</v>
          </cell>
          <cell r="BJ48">
            <v>48775.310641058844</v>
          </cell>
          <cell r="BK48">
            <v>62662.698379882291</v>
          </cell>
          <cell r="BL48">
            <v>60714.251860564545</v>
          </cell>
          <cell r="BM48">
            <v>60174.767534733553</v>
          </cell>
          <cell r="BN48">
            <v>67328.973526553731</v>
          </cell>
          <cell r="BO48">
            <v>63936.145105126096</v>
          </cell>
          <cell r="BP48">
            <v>61949.362320185632</v>
          </cell>
          <cell r="BQ48">
            <v>61399.537884583769</v>
          </cell>
          <cell r="BR48">
            <v>50773.811853890402</v>
          </cell>
          <cell r="BS48">
            <v>65236.17323912889</v>
          </cell>
          <cell r="BT48">
            <v>63614.350734902691</v>
          </cell>
          <cell r="BU48">
            <v>62466.705091952637</v>
          </cell>
          <cell r="BV48">
            <v>69901.576743147918</v>
          </cell>
          <cell r="BW48">
            <v>66371.799388797823</v>
          </cell>
          <cell r="BX48">
            <v>64421.626308819221</v>
          </cell>
          <cell r="BY48">
            <v>63860.097445395775</v>
          </cell>
          <cell r="BZ48">
            <v>52825.00361691232</v>
          </cell>
          <cell r="CA48">
            <v>67872.317205195883</v>
          </cell>
          <cell r="CB48">
            <v>65738.669255124274</v>
          </cell>
          <cell r="CC48">
            <v>65166.280679437696</v>
          </cell>
          <cell r="CD48">
            <v>72919.237986531618</v>
          </cell>
          <cell r="CE48">
            <v>69258.993123063716</v>
          </cell>
          <cell r="CF48">
            <v>67083.411915699049</v>
          </cell>
          <cell r="CG48">
            <v>66499.823323843841</v>
          </cell>
          <cell r="CH48">
            <v>55028.995011345643</v>
          </cell>
          <cell r="CI48">
            <v>70674.369447620091</v>
          </cell>
          <cell r="CJ48">
            <v>68932.901967183803</v>
          </cell>
          <cell r="CK48">
            <v>67703.628963434196</v>
          </cell>
          <cell r="CL48">
            <v>75760.998138184514</v>
          </cell>
          <cell r="CM48">
            <v>71953.687647587794</v>
          </cell>
          <cell r="CN48">
            <v>69804.245441502499</v>
          </cell>
          <cell r="CO48">
            <v>69196.883609771641</v>
          </cell>
          <cell r="CP48">
            <v>57290.36042347279</v>
          </cell>
          <cell r="CQ48">
            <v>73539.207592062376</v>
          </cell>
          <cell r="CR48">
            <v>71180.696172817305</v>
          </cell>
          <cell r="CS48">
            <v>70560.684395614051</v>
          </cell>
          <cell r="CT48">
            <v>78949.312627570194</v>
          </cell>
          <cell r="CU48">
            <v>74988.887300397779</v>
          </cell>
          <cell r="CV48">
            <v>72586.066483503237</v>
          </cell>
          <cell r="CW48">
            <v>71953.166411657934</v>
          </cell>
          <cell r="CX48">
            <v>59611.295735275504</v>
          </cell>
          <cell r="CY48">
            <v>76468.985662926934</v>
          </cell>
          <cell r="CZ48">
            <v>74534.685993084815</v>
          </cell>
          <cell r="DA48">
            <v>73205.261437751615</v>
          </cell>
          <cell r="DB48">
            <v>81921.678304674075</v>
          </cell>
          <cell r="DC48">
            <v>77801.736023467223</v>
          </cell>
          <cell r="DD48">
            <v>75486.11741857887</v>
          </cell>
          <cell r="DE48">
            <v>74826.708970817883</v>
          </cell>
          <cell r="DF48">
            <v>62032.462536545412</v>
          </cell>
          <cell r="DG48">
            <v>79523.117006533663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4">
          <cell r="G4">
            <v>43830</v>
          </cell>
          <cell r="H4">
            <v>43921</v>
          </cell>
          <cell r="I4">
            <v>44012</v>
          </cell>
          <cell r="J4">
            <v>44104</v>
          </cell>
          <cell r="K4">
            <v>44196</v>
          </cell>
          <cell r="L4">
            <v>44286</v>
          </cell>
          <cell r="M4">
            <v>44377</v>
          </cell>
          <cell r="N4">
            <v>44469</v>
          </cell>
          <cell r="O4">
            <v>44561</v>
          </cell>
          <cell r="P4">
            <v>44651</v>
          </cell>
          <cell r="Q4">
            <v>44742</v>
          </cell>
          <cell r="R4">
            <v>44834</v>
          </cell>
          <cell r="S4">
            <v>44926</v>
          </cell>
          <cell r="T4">
            <v>45016</v>
          </cell>
          <cell r="U4">
            <v>45107</v>
          </cell>
          <cell r="V4">
            <v>45199</v>
          </cell>
          <cell r="W4">
            <v>45291</v>
          </cell>
          <cell r="X4">
            <v>45382</v>
          </cell>
          <cell r="Y4">
            <v>45473</v>
          </cell>
          <cell r="Z4">
            <v>45565</v>
          </cell>
          <cell r="AA4">
            <v>45657</v>
          </cell>
          <cell r="AB4">
            <v>45747</v>
          </cell>
          <cell r="AC4">
            <v>45838</v>
          </cell>
          <cell r="AD4">
            <v>45930</v>
          </cell>
          <cell r="AE4">
            <v>46022</v>
          </cell>
          <cell r="AF4">
            <v>46112</v>
          </cell>
          <cell r="AG4">
            <v>46203</v>
          </cell>
          <cell r="AH4">
            <v>46295</v>
          </cell>
          <cell r="AI4">
            <v>46387</v>
          </cell>
          <cell r="AJ4">
            <v>46477</v>
          </cell>
          <cell r="AK4">
            <v>46568</v>
          </cell>
          <cell r="AL4">
            <v>46660</v>
          </cell>
          <cell r="AM4">
            <v>46752</v>
          </cell>
          <cell r="AN4">
            <v>46843</v>
          </cell>
          <cell r="AO4">
            <v>46934</v>
          </cell>
          <cell r="AP4">
            <v>47026</v>
          </cell>
          <cell r="AQ4">
            <v>47118</v>
          </cell>
          <cell r="AR4">
            <v>47208</v>
          </cell>
          <cell r="AS4">
            <v>47299</v>
          </cell>
          <cell r="AT4">
            <v>47391</v>
          </cell>
          <cell r="AU4">
            <v>47483</v>
          </cell>
          <cell r="AV4">
            <v>47573</v>
          </cell>
          <cell r="AW4">
            <v>47664</v>
          </cell>
          <cell r="AX4">
            <v>47756</v>
          </cell>
          <cell r="AY4">
            <v>47848</v>
          </cell>
          <cell r="AZ4">
            <v>47938</v>
          </cell>
          <cell r="BA4">
            <v>48029</v>
          </cell>
          <cell r="BB4">
            <v>48121</v>
          </cell>
          <cell r="BC4">
            <v>48213</v>
          </cell>
          <cell r="BD4">
            <v>48304</v>
          </cell>
          <cell r="BE4">
            <v>48395</v>
          </cell>
          <cell r="BF4">
            <v>48487</v>
          </cell>
          <cell r="BG4">
            <v>48579</v>
          </cell>
          <cell r="BH4">
            <v>48669</v>
          </cell>
          <cell r="BI4">
            <v>48760</v>
          </cell>
          <cell r="BJ4">
            <v>48852</v>
          </cell>
          <cell r="BK4">
            <v>48944</v>
          </cell>
          <cell r="BL4">
            <v>49034</v>
          </cell>
          <cell r="BM4">
            <v>49125</v>
          </cell>
          <cell r="BN4">
            <v>49217</v>
          </cell>
          <cell r="BO4">
            <v>49309</v>
          </cell>
          <cell r="BP4">
            <v>49399</v>
          </cell>
          <cell r="BQ4">
            <v>49490</v>
          </cell>
          <cell r="BR4">
            <v>49582</v>
          </cell>
          <cell r="BS4">
            <v>49674</v>
          </cell>
          <cell r="BT4">
            <v>49765</v>
          </cell>
          <cell r="BU4">
            <v>49856</v>
          </cell>
          <cell r="BV4">
            <v>49948</v>
          </cell>
          <cell r="BW4">
            <v>50040</v>
          </cell>
          <cell r="BX4">
            <v>50130</v>
          </cell>
          <cell r="BY4">
            <v>50221</v>
          </cell>
          <cell r="BZ4">
            <v>50313</v>
          </cell>
          <cell r="CA4">
            <v>50405</v>
          </cell>
          <cell r="CB4">
            <v>50495</v>
          </cell>
          <cell r="CC4">
            <v>50586</v>
          </cell>
          <cell r="CD4">
            <v>50678</v>
          </cell>
          <cell r="CE4">
            <v>50770</v>
          </cell>
          <cell r="CF4">
            <v>50860</v>
          </cell>
          <cell r="CG4">
            <v>50951</v>
          </cell>
          <cell r="CH4">
            <v>51043</v>
          </cell>
          <cell r="CI4">
            <v>51135</v>
          </cell>
          <cell r="CJ4">
            <v>51226</v>
          </cell>
          <cell r="CK4">
            <v>51317</v>
          </cell>
          <cell r="CL4">
            <v>51409</v>
          </cell>
          <cell r="CM4">
            <v>51501</v>
          </cell>
          <cell r="CN4">
            <v>51591</v>
          </cell>
          <cell r="CO4">
            <v>51682</v>
          </cell>
          <cell r="CP4">
            <v>51774</v>
          </cell>
          <cell r="CQ4">
            <v>51866</v>
          </cell>
          <cell r="CR4">
            <v>51956</v>
          </cell>
          <cell r="CS4">
            <v>52047</v>
          </cell>
          <cell r="CT4">
            <v>52139</v>
          </cell>
          <cell r="CU4">
            <v>52231</v>
          </cell>
          <cell r="CV4">
            <v>52321</v>
          </cell>
          <cell r="CW4">
            <v>52412</v>
          </cell>
          <cell r="CX4">
            <v>52504</v>
          </cell>
          <cell r="CY4">
            <v>52596</v>
          </cell>
          <cell r="CZ4">
            <v>52687</v>
          </cell>
          <cell r="DA4">
            <v>52778</v>
          </cell>
          <cell r="DB4">
            <v>52870</v>
          </cell>
          <cell r="DC4">
            <v>52962</v>
          </cell>
          <cell r="DD4">
            <v>53052</v>
          </cell>
          <cell r="DE4">
            <v>53143</v>
          </cell>
          <cell r="DF4">
            <v>53235</v>
          </cell>
          <cell r="DG4">
            <v>53327</v>
          </cell>
        </row>
        <row r="20">
          <cell r="G20">
            <v>63.744886153846167</v>
          </cell>
          <cell r="H20">
            <v>66.62626607142856</v>
          </cell>
          <cell r="I20">
            <v>72.047914285714299</v>
          </cell>
          <cell r="J20">
            <v>73.568783333333315</v>
          </cell>
          <cell r="K20">
            <v>76.203010769230758</v>
          </cell>
          <cell r="L20">
            <v>74.368551785714288</v>
          </cell>
          <cell r="M20">
            <v>74.293575806451628</v>
          </cell>
          <cell r="N20">
            <v>73.470934848484859</v>
          </cell>
          <cell r="O20">
            <v>72.654304687499987</v>
          </cell>
          <cell r="P20">
            <v>87.347862500000005</v>
          </cell>
          <cell r="Q20">
            <v>66.514140000000012</v>
          </cell>
          <cell r="R20">
            <v>59.478272727272739</v>
          </cell>
          <cell r="S20">
            <v>62.693696923076921</v>
          </cell>
          <cell r="T20">
            <v>72.97114285714288</v>
          </cell>
          <cell r="U20">
            <v>81.240191803278677</v>
          </cell>
          <cell r="V20">
            <v>94.200116666666645</v>
          </cell>
          <cell r="W20">
            <v>92.753353125000032</v>
          </cell>
          <cell r="X20">
            <v>90.800245614035106</v>
          </cell>
          <cell r="Y20">
            <v>90.706754385964913</v>
          </cell>
          <cell r="Z20">
            <v>89.233693846153855</v>
          </cell>
          <cell r="AA20">
            <v>99.610025757575769</v>
          </cell>
          <cell r="AB20">
            <v>93.988017013069722</v>
          </cell>
          <cell r="AC20">
            <v>93.988017013069722</v>
          </cell>
          <cell r="AD20">
            <v>93.988017013069722</v>
          </cell>
          <cell r="AE20">
            <v>93.988017013069722</v>
          </cell>
          <cell r="AF20">
            <v>102.44497982562082</v>
          </cell>
          <cell r="AG20">
            <v>102.44497982562082</v>
          </cell>
          <cell r="AH20">
            <v>102.44497982562082</v>
          </cell>
          <cell r="AI20">
            <v>102.44497982562082</v>
          </cell>
          <cell r="AJ20">
            <v>106.22087707537483</v>
          </cell>
          <cell r="AK20">
            <v>106.22087707537483</v>
          </cell>
          <cell r="AL20">
            <v>106.22087707537483</v>
          </cell>
          <cell r="AM20">
            <v>106.22087707537483</v>
          </cell>
          <cell r="AN20">
            <v>109.93860777301296</v>
          </cell>
          <cell r="AO20">
            <v>109.93860777301296</v>
          </cell>
          <cell r="AP20">
            <v>109.93860777301296</v>
          </cell>
          <cell r="AQ20">
            <v>109.93860777301296</v>
          </cell>
          <cell r="AR20">
            <v>113.78645904506841</v>
          </cell>
          <cell r="AS20">
            <v>113.78645904506841</v>
          </cell>
          <cell r="AT20">
            <v>113.78645904506841</v>
          </cell>
          <cell r="AU20">
            <v>113.78645904506841</v>
          </cell>
          <cell r="AV20">
            <v>117.76898511164582</v>
          </cell>
          <cell r="AW20">
            <v>117.76898511164582</v>
          </cell>
          <cell r="AX20">
            <v>117.76898511164582</v>
          </cell>
          <cell r="AY20">
            <v>117.76898511164582</v>
          </cell>
          <cell r="AZ20">
            <v>120.11705992005095</v>
          </cell>
          <cell r="BA20">
            <v>120.11705992005095</v>
          </cell>
          <cell r="BB20">
            <v>120.11705992005095</v>
          </cell>
          <cell r="BC20">
            <v>120.11705992005095</v>
          </cell>
          <cell r="BD20">
            <v>122.51195057985056</v>
          </cell>
          <cell r="BE20">
            <v>122.51195057985056</v>
          </cell>
          <cell r="BF20">
            <v>122.51195057985056</v>
          </cell>
          <cell r="BG20">
            <v>122.51195057985056</v>
          </cell>
          <cell r="BH20">
            <v>124.95459050421104</v>
          </cell>
          <cell r="BI20">
            <v>124.95459050421104</v>
          </cell>
          <cell r="BJ20">
            <v>124.95459050421104</v>
          </cell>
          <cell r="BK20">
            <v>124.95459050421104</v>
          </cell>
          <cell r="BL20">
            <v>127.44593171666496</v>
          </cell>
          <cell r="BM20">
            <v>127.44593171666496</v>
          </cell>
          <cell r="BN20">
            <v>127.44593171666496</v>
          </cell>
          <cell r="BO20">
            <v>127.44593171666496</v>
          </cell>
          <cell r="BP20">
            <v>129.98694522216411</v>
          </cell>
          <cell r="BQ20">
            <v>129.98694522216411</v>
          </cell>
          <cell r="BR20">
            <v>129.98694522216411</v>
          </cell>
          <cell r="BS20">
            <v>129.98694522216411</v>
          </cell>
          <cell r="BT20">
            <v>132.57862138553045</v>
          </cell>
          <cell r="BU20">
            <v>132.57862138553045</v>
          </cell>
          <cell r="BV20">
            <v>132.57862138553045</v>
          </cell>
          <cell r="BW20">
            <v>132.57862138553045</v>
          </cell>
          <cell r="BX20">
            <v>135.22197031745279</v>
          </cell>
          <cell r="BY20">
            <v>135.22197031745279</v>
          </cell>
          <cell r="BZ20">
            <v>135.22197031745279</v>
          </cell>
          <cell r="CA20">
            <v>135.22197031745279</v>
          </cell>
          <cell r="CB20">
            <v>137.91802226817913</v>
          </cell>
          <cell r="CC20">
            <v>137.91802226817913</v>
          </cell>
          <cell r="CD20">
            <v>137.91802226817913</v>
          </cell>
          <cell r="CE20">
            <v>137.91802226817913</v>
          </cell>
          <cell r="CF20">
            <v>140.66782802905891</v>
          </cell>
          <cell r="CG20">
            <v>140.66782802905891</v>
          </cell>
          <cell r="CH20">
            <v>140.66782802905891</v>
          </cell>
          <cell r="CI20">
            <v>140.66782802905891</v>
          </cell>
          <cell r="CJ20">
            <v>143.4724593420907</v>
          </cell>
          <cell r="CK20">
            <v>143.4724593420907</v>
          </cell>
          <cell r="CL20">
            <v>143.4724593420907</v>
          </cell>
          <cell r="CM20">
            <v>143.4724593420907</v>
          </cell>
          <cell r="CN20">
            <v>146.33300931763583</v>
          </cell>
          <cell r="CO20">
            <v>146.33300931763583</v>
          </cell>
          <cell r="CP20">
            <v>146.33300931763583</v>
          </cell>
          <cell r="CQ20">
            <v>146.33300931763583</v>
          </cell>
          <cell r="CR20">
            <v>149.2505928604601</v>
          </cell>
          <cell r="CS20">
            <v>149.2505928604601</v>
          </cell>
          <cell r="CT20">
            <v>149.2505928604601</v>
          </cell>
          <cell r="CU20">
            <v>149.2505928604601</v>
          </cell>
          <cell r="CV20">
            <v>152.2263471042701</v>
          </cell>
          <cell r="CW20">
            <v>152.2263471042701</v>
          </cell>
          <cell r="CX20">
            <v>152.2263471042701</v>
          </cell>
          <cell r="CY20">
            <v>152.2263471042701</v>
          </cell>
          <cell r="CZ20">
            <v>155.26143185491321</v>
          </cell>
          <cell r="DA20">
            <v>155.26143185491321</v>
          </cell>
          <cell r="DB20">
            <v>155.26143185491321</v>
          </cell>
          <cell r="DC20">
            <v>155.26143185491321</v>
          </cell>
          <cell r="DD20">
            <v>158.35703004241412</v>
          </cell>
          <cell r="DE20">
            <v>158.35703004241412</v>
          </cell>
          <cell r="DF20">
            <v>158.35703004241412</v>
          </cell>
          <cell r="DG20">
            <v>158.35703004241412</v>
          </cell>
        </row>
        <row r="40"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Q40">
            <v>0</v>
          </cell>
          <cell r="R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0</v>
          </cell>
          <cell r="X40">
            <v>0</v>
          </cell>
          <cell r="Y40">
            <v>0</v>
          </cell>
          <cell r="Z40">
            <v>0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0.12000000000000001</v>
          </cell>
          <cell r="BE40">
            <v>0.12000000000000001</v>
          </cell>
          <cell r="BF40">
            <v>0.12000000000000001</v>
          </cell>
          <cell r="BG40">
            <v>0.12000000000000001</v>
          </cell>
          <cell r="BH40">
            <v>0.12000000000000001</v>
          </cell>
          <cell r="BI40">
            <v>0.12000000000000001</v>
          </cell>
          <cell r="BJ40">
            <v>0.12000000000000001</v>
          </cell>
          <cell r="BK40">
            <v>0.12000000000000001</v>
          </cell>
          <cell r="BL40">
            <v>0.12000000000000001</v>
          </cell>
          <cell r="BM40">
            <v>0.12000000000000001</v>
          </cell>
          <cell r="BN40">
            <v>0.12000000000000001</v>
          </cell>
          <cell r="BO40">
            <v>0.12000000000000001</v>
          </cell>
          <cell r="BP40">
            <v>0.12000000000000001</v>
          </cell>
          <cell r="BQ40">
            <v>0.12000000000000001</v>
          </cell>
          <cell r="BR40">
            <v>0.12000000000000001</v>
          </cell>
          <cell r="BS40">
            <v>0.12000000000000001</v>
          </cell>
          <cell r="BT40">
            <v>0.12000000000000001</v>
          </cell>
          <cell r="BU40">
            <v>0.12000000000000001</v>
          </cell>
          <cell r="BV40">
            <v>0.12000000000000001</v>
          </cell>
          <cell r="BW40">
            <v>0.12000000000000001</v>
          </cell>
          <cell r="BX40">
            <v>0.25</v>
          </cell>
          <cell r="BY40">
            <v>0.25</v>
          </cell>
          <cell r="BZ40">
            <v>0.25</v>
          </cell>
          <cell r="CA40">
            <v>0.25</v>
          </cell>
          <cell r="CB40">
            <v>0.25</v>
          </cell>
          <cell r="CC40">
            <v>0.25</v>
          </cell>
          <cell r="CD40">
            <v>0.25</v>
          </cell>
          <cell r="CE40">
            <v>0.25</v>
          </cell>
          <cell r="CF40">
            <v>0.25</v>
          </cell>
          <cell r="CG40">
            <v>0.25</v>
          </cell>
          <cell r="CH40">
            <v>0.25</v>
          </cell>
          <cell r="CI40">
            <v>0.25</v>
          </cell>
          <cell r="CJ40">
            <v>0.25</v>
          </cell>
          <cell r="CK40">
            <v>0.25</v>
          </cell>
          <cell r="CL40">
            <v>0.25</v>
          </cell>
          <cell r="CM40">
            <v>0.25</v>
          </cell>
          <cell r="CN40">
            <v>0.25</v>
          </cell>
          <cell r="CO40">
            <v>0.25</v>
          </cell>
          <cell r="CP40">
            <v>0.25</v>
          </cell>
          <cell r="CQ40">
            <v>0.25</v>
          </cell>
          <cell r="CR40">
            <v>0.25</v>
          </cell>
          <cell r="CS40">
            <v>0.25</v>
          </cell>
          <cell r="CT40">
            <v>0.25</v>
          </cell>
          <cell r="CU40">
            <v>0.25</v>
          </cell>
          <cell r="CV40">
            <v>0.25</v>
          </cell>
          <cell r="CW40">
            <v>0.25</v>
          </cell>
          <cell r="CX40">
            <v>0.25</v>
          </cell>
          <cell r="CY40">
            <v>0.25</v>
          </cell>
          <cell r="CZ40">
            <v>0.25</v>
          </cell>
          <cell r="DA40">
            <v>0.25</v>
          </cell>
          <cell r="DB40">
            <v>0.25</v>
          </cell>
          <cell r="DC40">
            <v>0.25</v>
          </cell>
          <cell r="DD40">
            <v>0.25</v>
          </cell>
          <cell r="DE40">
            <v>0.25</v>
          </cell>
          <cell r="DF40">
            <v>0.25</v>
          </cell>
          <cell r="DG40">
            <v>0.25</v>
          </cell>
        </row>
        <row r="85"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7782.48</v>
          </cell>
          <cell r="AA85">
            <v>7782.48</v>
          </cell>
          <cell r="AB85">
            <v>7782.48</v>
          </cell>
          <cell r="AC85">
            <v>7782.48</v>
          </cell>
          <cell r="AD85">
            <v>8584.0754399999987</v>
          </cell>
          <cell r="AE85">
            <v>8584.0754399999987</v>
          </cell>
          <cell r="AF85">
            <v>8584.0754399999987</v>
          </cell>
          <cell r="AG85">
            <v>8584.0754399999987</v>
          </cell>
          <cell r="AH85">
            <v>9493.9874366399999</v>
          </cell>
          <cell r="AI85">
            <v>9493.9874366399999</v>
          </cell>
          <cell r="AJ85">
            <v>9493.9874366399999</v>
          </cell>
          <cell r="AK85">
            <v>9493.9874366399999</v>
          </cell>
          <cell r="AL85">
            <v>10348.446305937601</v>
          </cell>
          <cell r="AM85">
            <v>10348.446305937601</v>
          </cell>
          <cell r="AN85">
            <v>10348.446305937601</v>
          </cell>
          <cell r="AO85">
            <v>10348.446305937601</v>
          </cell>
          <cell r="AP85">
            <v>11072.837547353234</v>
          </cell>
          <cell r="AQ85">
            <v>11072.837547353234</v>
          </cell>
          <cell r="AR85">
            <v>11072.837547353234</v>
          </cell>
          <cell r="AS85">
            <v>11072.837547353234</v>
          </cell>
          <cell r="AT85">
            <v>11515.751049247365</v>
          </cell>
          <cell r="AU85">
            <v>11515.751049247365</v>
          </cell>
          <cell r="AV85">
            <v>11515.751049247365</v>
          </cell>
          <cell r="AW85">
            <v>11515.751049247365</v>
          </cell>
          <cell r="AX85">
            <v>11976.381091217259</v>
          </cell>
          <cell r="AY85">
            <v>11976.381091217259</v>
          </cell>
          <cell r="AZ85">
            <v>11976.381091217259</v>
          </cell>
          <cell r="BA85">
            <v>11976.381091217259</v>
          </cell>
          <cell r="BB85">
            <v>12455.43633486595</v>
          </cell>
          <cell r="BC85">
            <v>12455.43633486595</v>
          </cell>
          <cell r="BD85">
            <v>12455.43633486595</v>
          </cell>
          <cell r="BE85">
            <v>12455.43633486595</v>
          </cell>
          <cell r="BF85">
            <v>12953.653788260588</v>
          </cell>
          <cell r="BG85">
            <v>12953.653788260588</v>
          </cell>
          <cell r="BH85">
            <v>12953.653788260588</v>
          </cell>
          <cell r="BI85">
            <v>12953.653788260588</v>
          </cell>
          <cell r="BJ85">
            <v>13471.799939791012</v>
          </cell>
          <cell r="BK85">
            <v>13471.799939791012</v>
          </cell>
          <cell r="BL85">
            <v>13471.799939791012</v>
          </cell>
          <cell r="BM85">
            <v>13471.799939791012</v>
          </cell>
          <cell r="BN85">
            <v>14010.671937382653</v>
          </cell>
          <cell r="BO85">
            <v>14010.671937382653</v>
          </cell>
          <cell r="BP85">
            <v>14010.671937382653</v>
          </cell>
          <cell r="BQ85">
            <v>14010.671937382653</v>
          </cell>
          <cell r="BR85">
            <v>14571.09881487796</v>
          </cell>
          <cell r="BS85">
            <v>14571.09881487796</v>
          </cell>
          <cell r="BT85">
            <v>14571.09881487796</v>
          </cell>
          <cell r="BU85">
            <v>14571.09881487796</v>
          </cell>
          <cell r="BV85">
            <v>15153.942767473078</v>
          </cell>
          <cell r="BW85">
            <v>15153.942767473078</v>
          </cell>
          <cell r="BX85">
            <v>15153.942767473078</v>
          </cell>
          <cell r="BY85">
            <v>15153.942767473078</v>
          </cell>
          <cell r="BZ85">
            <v>15760.100478172002</v>
          </cell>
          <cell r="CA85">
            <v>15760.100478172002</v>
          </cell>
          <cell r="CB85">
            <v>15760.100478172002</v>
          </cell>
          <cell r="CC85">
            <v>15760.100478172002</v>
          </cell>
          <cell r="CD85">
            <v>16390.504497298884</v>
          </cell>
          <cell r="CE85">
            <v>16390.504497298884</v>
          </cell>
          <cell r="CF85">
            <v>16390.504497298884</v>
          </cell>
          <cell r="CG85">
            <v>16390.504497298884</v>
          </cell>
          <cell r="CH85">
            <v>17046.124677190841</v>
          </cell>
          <cell r="CI85">
            <v>17046.124677190841</v>
          </cell>
          <cell r="CJ85">
            <v>17046.124677190841</v>
          </cell>
          <cell r="CK85">
            <v>17046.124677190841</v>
          </cell>
          <cell r="CL85">
            <v>17727.969664278477</v>
          </cell>
          <cell r="CM85">
            <v>17727.969664278477</v>
          </cell>
          <cell r="CN85">
            <v>17727.969664278477</v>
          </cell>
          <cell r="CO85">
            <v>17727.969664278477</v>
          </cell>
          <cell r="CP85">
            <v>18437.088450849616</v>
          </cell>
          <cell r="CQ85">
            <v>18437.088450849616</v>
          </cell>
          <cell r="CR85">
            <v>18437.088450849616</v>
          </cell>
          <cell r="CS85">
            <v>18437.088450849616</v>
          </cell>
          <cell r="CT85">
            <v>19174.571988883603</v>
          </cell>
          <cell r="CU85">
            <v>19174.571988883603</v>
          </cell>
          <cell r="CV85">
            <v>19174.571988883603</v>
          </cell>
          <cell r="CW85">
            <v>19174.571988883603</v>
          </cell>
          <cell r="CX85">
            <v>19941.554868438947</v>
          </cell>
          <cell r="CY85">
            <v>19941.554868438947</v>
          </cell>
          <cell r="CZ85">
            <v>19941.554868438947</v>
          </cell>
          <cell r="DA85">
            <v>19941.554868438947</v>
          </cell>
          <cell r="DB85">
            <v>20739.217063176504</v>
          </cell>
          <cell r="DC85">
            <v>20739.217063176504</v>
          </cell>
          <cell r="DD85">
            <v>20739.217063176504</v>
          </cell>
          <cell r="DE85">
            <v>20739.217063176504</v>
          </cell>
          <cell r="DF85">
            <v>21568.785745703564</v>
          </cell>
          <cell r="DG85">
            <v>21568.785745703564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DH37"/>
  <sheetViews>
    <sheetView showGridLines="0"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6" sqref="H16"/>
    </sheetView>
  </sheetViews>
  <sheetFormatPr defaultRowHeight="14.25"/>
  <cols>
    <col min="1" max="1" width="4.7109375" style="3" customWidth="1"/>
    <col min="2" max="2" width="53.85546875" style="3" bestFit="1" customWidth="1"/>
    <col min="3" max="3" width="17.7109375" style="3" customWidth="1"/>
    <col min="4" max="4" width="51.140625" style="3" customWidth="1"/>
    <col min="5" max="5" width="9.140625" style="3"/>
    <col min="6" max="6" width="2.5703125" style="3" bestFit="1" customWidth="1"/>
    <col min="7" max="111" width="10.7109375" style="3" customWidth="1"/>
    <col min="112" max="16384" width="9.140625" style="3"/>
  </cols>
  <sheetData>
    <row r="3" spans="2:112" ht="15">
      <c r="B3" s="1" t="s">
        <v>11</v>
      </c>
      <c r="C3" s="2" t="s">
        <v>17</v>
      </c>
      <c r="D3" s="1" t="s">
        <v>149</v>
      </c>
      <c r="G3" s="2" t="s">
        <v>18</v>
      </c>
      <c r="H3" s="2" t="s">
        <v>19</v>
      </c>
      <c r="I3" s="2" t="s">
        <v>20</v>
      </c>
      <c r="J3" s="2" t="s">
        <v>21</v>
      </c>
      <c r="K3" s="2" t="s">
        <v>22</v>
      </c>
      <c r="L3" s="2" t="s">
        <v>23</v>
      </c>
      <c r="M3" s="2" t="s">
        <v>24</v>
      </c>
      <c r="N3" s="2" t="s">
        <v>25</v>
      </c>
      <c r="O3" s="2" t="s">
        <v>26</v>
      </c>
      <c r="P3" s="2" t="s">
        <v>27</v>
      </c>
      <c r="Q3" s="2" t="s">
        <v>28</v>
      </c>
      <c r="R3" s="2" t="s">
        <v>29</v>
      </c>
      <c r="S3" s="2" t="s">
        <v>30</v>
      </c>
      <c r="T3" s="2" t="s">
        <v>31</v>
      </c>
      <c r="U3" s="2" t="s">
        <v>32</v>
      </c>
      <c r="V3" s="2" t="s">
        <v>33</v>
      </c>
      <c r="W3" s="2" t="s">
        <v>34</v>
      </c>
      <c r="X3" s="2" t="s">
        <v>35</v>
      </c>
      <c r="Y3" s="2" t="s">
        <v>36</v>
      </c>
      <c r="Z3" s="2" t="s">
        <v>37</v>
      </c>
      <c r="AA3" s="2" t="s">
        <v>38</v>
      </c>
      <c r="AB3" s="2" t="s">
        <v>39</v>
      </c>
      <c r="AC3" s="2" t="s">
        <v>40</v>
      </c>
      <c r="AD3" s="2" t="s">
        <v>41</v>
      </c>
      <c r="AE3" s="2" t="s">
        <v>42</v>
      </c>
      <c r="AF3" s="2" t="s">
        <v>43</v>
      </c>
      <c r="AG3" s="2" t="s">
        <v>44</v>
      </c>
      <c r="AH3" s="2" t="s">
        <v>45</v>
      </c>
      <c r="AI3" s="2" t="s">
        <v>46</v>
      </c>
      <c r="AJ3" s="2" t="s">
        <v>47</v>
      </c>
      <c r="AK3" s="2" t="s">
        <v>48</v>
      </c>
      <c r="AL3" s="2" t="s">
        <v>49</v>
      </c>
      <c r="AM3" s="2" t="s">
        <v>50</v>
      </c>
      <c r="AN3" s="2" t="s">
        <v>51</v>
      </c>
      <c r="AO3" s="2" t="s">
        <v>52</v>
      </c>
      <c r="AP3" s="2" t="s">
        <v>53</v>
      </c>
      <c r="AQ3" s="2" t="s">
        <v>54</v>
      </c>
      <c r="AR3" s="2" t="s">
        <v>55</v>
      </c>
      <c r="AS3" s="2" t="s">
        <v>56</v>
      </c>
      <c r="AT3" s="2" t="s">
        <v>57</v>
      </c>
      <c r="AU3" s="2" t="s">
        <v>58</v>
      </c>
      <c r="AV3" s="2" t="s">
        <v>59</v>
      </c>
      <c r="AW3" s="2" t="s">
        <v>60</v>
      </c>
      <c r="AX3" s="2" t="s">
        <v>61</v>
      </c>
      <c r="AY3" s="2" t="s">
        <v>62</v>
      </c>
      <c r="AZ3" s="2" t="s">
        <v>63</v>
      </c>
      <c r="BA3" s="2" t="s">
        <v>64</v>
      </c>
      <c r="BB3" s="2" t="s">
        <v>65</v>
      </c>
      <c r="BC3" s="2" t="s">
        <v>66</v>
      </c>
      <c r="BD3" s="2" t="s">
        <v>67</v>
      </c>
      <c r="BE3" s="2" t="s">
        <v>68</v>
      </c>
      <c r="BF3" s="2" t="s">
        <v>69</v>
      </c>
      <c r="BG3" s="2" t="s">
        <v>70</v>
      </c>
      <c r="BH3" s="2" t="s">
        <v>71</v>
      </c>
      <c r="BI3" s="2" t="s">
        <v>72</v>
      </c>
      <c r="BJ3" s="2" t="s">
        <v>73</v>
      </c>
      <c r="BK3" s="2" t="s">
        <v>74</v>
      </c>
      <c r="BL3" s="2" t="s">
        <v>75</v>
      </c>
      <c r="BM3" s="2" t="s">
        <v>76</v>
      </c>
      <c r="BN3" s="2" t="s">
        <v>77</v>
      </c>
      <c r="BO3" s="2" t="s">
        <v>78</v>
      </c>
      <c r="BP3" s="2" t="s">
        <v>79</v>
      </c>
      <c r="BQ3" s="2" t="s">
        <v>80</v>
      </c>
      <c r="BR3" s="2" t="s">
        <v>81</v>
      </c>
      <c r="BS3" s="2" t="s">
        <v>82</v>
      </c>
      <c r="BT3" s="2" t="s">
        <v>83</v>
      </c>
      <c r="BU3" s="2" t="s">
        <v>84</v>
      </c>
      <c r="BV3" s="2" t="s">
        <v>85</v>
      </c>
      <c r="BW3" s="2" t="s">
        <v>86</v>
      </c>
      <c r="BX3" s="2" t="s">
        <v>87</v>
      </c>
      <c r="BY3" s="2" t="s">
        <v>88</v>
      </c>
      <c r="BZ3" s="2" t="s">
        <v>89</v>
      </c>
      <c r="CA3" s="2" t="s">
        <v>90</v>
      </c>
      <c r="CB3" s="2" t="s">
        <v>91</v>
      </c>
      <c r="CC3" s="2" t="s">
        <v>92</v>
      </c>
      <c r="CD3" s="2" t="s">
        <v>93</v>
      </c>
      <c r="CE3" s="2" t="s">
        <v>94</v>
      </c>
      <c r="CF3" s="2" t="s">
        <v>95</v>
      </c>
      <c r="CG3" s="2" t="s">
        <v>96</v>
      </c>
      <c r="CH3" s="2" t="s">
        <v>97</v>
      </c>
      <c r="CI3" s="2" t="s">
        <v>98</v>
      </c>
      <c r="CJ3" s="2" t="s">
        <v>99</v>
      </c>
      <c r="CK3" s="2" t="s">
        <v>100</v>
      </c>
      <c r="CL3" s="2" t="s">
        <v>101</v>
      </c>
      <c r="CM3" s="2" t="s">
        <v>102</v>
      </c>
      <c r="CN3" s="2" t="s">
        <v>103</v>
      </c>
      <c r="CO3" s="2" t="s">
        <v>104</v>
      </c>
      <c r="CP3" s="2" t="s">
        <v>105</v>
      </c>
      <c r="CQ3" s="2" t="s">
        <v>106</v>
      </c>
      <c r="CR3" s="2" t="s">
        <v>107</v>
      </c>
      <c r="CS3" s="2" t="s">
        <v>108</v>
      </c>
      <c r="CT3" s="2" t="s">
        <v>109</v>
      </c>
      <c r="CU3" s="2" t="s">
        <v>110</v>
      </c>
      <c r="CV3" s="2" t="s">
        <v>111</v>
      </c>
      <c r="CW3" s="2" t="s">
        <v>112</v>
      </c>
      <c r="CX3" s="2" t="s">
        <v>113</v>
      </c>
      <c r="CY3" s="2" t="s">
        <v>114</v>
      </c>
      <c r="CZ3" s="2" t="s">
        <v>115</v>
      </c>
      <c r="DA3" s="2" t="s">
        <v>116</v>
      </c>
      <c r="DB3" s="2" t="s">
        <v>117</v>
      </c>
      <c r="DC3" s="2" t="s">
        <v>118</v>
      </c>
      <c r="DD3" s="2" t="s">
        <v>119</v>
      </c>
      <c r="DE3" s="2" t="s">
        <v>120</v>
      </c>
      <c r="DF3" s="2" t="s">
        <v>121</v>
      </c>
      <c r="DG3" s="2" t="s">
        <v>122</v>
      </c>
      <c r="DH3" s="2"/>
    </row>
    <row r="4" spans="2:112" ht="15">
      <c r="B4" s="1" t="s">
        <v>138</v>
      </c>
      <c r="C4" s="2" t="s">
        <v>139</v>
      </c>
      <c r="D4" s="13" t="s">
        <v>141</v>
      </c>
      <c r="G4" s="12">
        <f>[1]Assumptions!G$4</f>
        <v>43830</v>
      </c>
      <c r="H4" s="12">
        <f>[1]Assumptions!H$4</f>
        <v>43921</v>
      </c>
      <c r="I4" s="12">
        <f>[1]Assumptions!I$4</f>
        <v>44012</v>
      </c>
      <c r="J4" s="12">
        <f>[1]Assumptions!J$4</f>
        <v>44104</v>
      </c>
      <c r="K4" s="12">
        <f>[1]Assumptions!K$4</f>
        <v>44196</v>
      </c>
      <c r="L4" s="12">
        <f>[1]Assumptions!L$4</f>
        <v>44286</v>
      </c>
      <c r="M4" s="12">
        <f>[1]Assumptions!M$4</f>
        <v>44377</v>
      </c>
      <c r="N4" s="12">
        <f>[1]Assumptions!N$4</f>
        <v>44469</v>
      </c>
      <c r="O4" s="12">
        <f>[1]Assumptions!O$4</f>
        <v>44561</v>
      </c>
      <c r="P4" s="12">
        <f>[1]Assumptions!P$4</f>
        <v>44651</v>
      </c>
      <c r="Q4" s="12">
        <f>[1]Assumptions!Q$4</f>
        <v>44742</v>
      </c>
      <c r="R4" s="12">
        <f>[1]Assumptions!R$4</f>
        <v>44834</v>
      </c>
      <c r="S4" s="12">
        <f>[1]Assumptions!S$4</f>
        <v>44926</v>
      </c>
      <c r="T4" s="12">
        <f>[1]Assumptions!T$4</f>
        <v>45016</v>
      </c>
      <c r="U4" s="12">
        <f>[1]Assumptions!U$4</f>
        <v>45107</v>
      </c>
      <c r="V4" s="12">
        <f>[1]Assumptions!V$4</f>
        <v>45199</v>
      </c>
      <c r="W4" s="12">
        <f>[1]Assumptions!W$4</f>
        <v>45291</v>
      </c>
      <c r="X4" s="12">
        <f>[1]Assumptions!X$4</f>
        <v>45382</v>
      </c>
      <c r="Y4" s="12">
        <f>[1]Assumptions!Y$4</f>
        <v>45473</v>
      </c>
      <c r="Z4" s="12">
        <f>[1]Assumptions!Z$4</f>
        <v>45565</v>
      </c>
      <c r="AA4" s="12">
        <f>[1]Assumptions!AA$4</f>
        <v>45657</v>
      </c>
      <c r="AB4" s="12">
        <f>[1]Assumptions!AB$4</f>
        <v>45747</v>
      </c>
      <c r="AC4" s="12">
        <f>[1]Assumptions!AC$4</f>
        <v>45838</v>
      </c>
      <c r="AD4" s="12">
        <f>[1]Assumptions!AD$4</f>
        <v>45930</v>
      </c>
      <c r="AE4" s="12">
        <f>[1]Assumptions!AE$4</f>
        <v>46022</v>
      </c>
      <c r="AF4" s="12">
        <f>[1]Assumptions!AF$4</f>
        <v>46112</v>
      </c>
      <c r="AG4" s="12">
        <f>[1]Assumptions!AG$4</f>
        <v>46203</v>
      </c>
      <c r="AH4" s="12">
        <f>[1]Assumptions!AH$4</f>
        <v>46295</v>
      </c>
      <c r="AI4" s="12">
        <f>[1]Assumptions!AI$4</f>
        <v>46387</v>
      </c>
      <c r="AJ4" s="12">
        <f>[1]Assumptions!AJ$4</f>
        <v>46477</v>
      </c>
      <c r="AK4" s="12">
        <f>[1]Assumptions!AK$4</f>
        <v>46568</v>
      </c>
      <c r="AL4" s="12">
        <f>[1]Assumptions!AL$4</f>
        <v>46660</v>
      </c>
      <c r="AM4" s="12">
        <f>[1]Assumptions!AM$4</f>
        <v>46752</v>
      </c>
      <c r="AN4" s="12">
        <f>[1]Assumptions!AN$4</f>
        <v>46843</v>
      </c>
      <c r="AO4" s="12">
        <f>[1]Assumptions!AO$4</f>
        <v>46934</v>
      </c>
      <c r="AP4" s="12">
        <f>[1]Assumptions!AP$4</f>
        <v>47026</v>
      </c>
      <c r="AQ4" s="12">
        <f>[1]Assumptions!AQ$4</f>
        <v>47118</v>
      </c>
      <c r="AR4" s="12">
        <f>[1]Assumptions!AR$4</f>
        <v>47208</v>
      </c>
      <c r="AS4" s="12">
        <f>[1]Assumptions!AS$4</f>
        <v>47299</v>
      </c>
      <c r="AT4" s="12">
        <f>[1]Assumptions!AT$4</f>
        <v>47391</v>
      </c>
      <c r="AU4" s="12">
        <f>[1]Assumptions!AU$4</f>
        <v>47483</v>
      </c>
      <c r="AV4" s="12">
        <f>[1]Assumptions!AV$4</f>
        <v>47573</v>
      </c>
      <c r="AW4" s="12">
        <f>[1]Assumptions!AW$4</f>
        <v>47664</v>
      </c>
      <c r="AX4" s="12">
        <f>[1]Assumptions!AX$4</f>
        <v>47756</v>
      </c>
      <c r="AY4" s="12">
        <f>[1]Assumptions!AY$4</f>
        <v>47848</v>
      </c>
      <c r="AZ4" s="12">
        <f>[1]Assumptions!AZ$4</f>
        <v>47938</v>
      </c>
      <c r="BA4" s="12">
        <f>[1]Assumptions!BA$4</f>
        <v>48029</v>
      </c>
      <c r="BB4" s="12">
        <f>[1]Assumptions!BB$4</f>
        <v>48121</v>
      </c>
      <c r="BC4" s="12">
        <f>[1]Assumptions!BC$4</f>
        <v>48213</v>
      </c>
      <c r="BD4" s="12">
        <f>[1]Assumptions!BD$4</f>
        <v>48304</v>
      </c>
      <c r="BE4" s="12">
        <f>[1]Assumptions!BE$4</f>
        <v>48395</v>
      </c>
      <c r="BF4" s="12">
        <f>[1]Assumptions!BF$4</f>
        <v>48487</v>
      </c>
      <c r="BG4" s="12">
        <f>[1]Assumptions!BG$4</f>
        <v>48579</v>
      </c>
      <c r="BH4" s="12">
        <f>[1]Assumptions!BH$4</f>
        <v>48669</v>
      </c>
      <c r="BI4" s="12">
        <f>[1]Assumptions!BI$4</f>
        <v>48760</v>
      </c>
      <c r="BJ4" s="12">
        <f>[1]Assumptions!BJ$4</f>
        <v>48852</v>
      </c>
      <c r="BK4" s="12">
        <f>[1]Assumptions!BK$4</f>
        <v>48944</v>
      </c>
      <c r="BL4" s="12">
        <f>[1]Assumptions!BL$4</f>
        <v>49034</v>
      </c>
      <c r="BM4" s="12">
        <f>[1]Assumptions!BM$4</f>
        <v>49125</v>
      </c>
      <c r="BN4" s="12">
        <f>[1]Assumptions!BN$4</f>
        <v>49217</v>
      </c>
      <c r="BO4" s="12">
        <f>[1]Assumptions!BO$4</f>
        <v>49309</v>
      </c>
      <c r="BP4" s="12">
        <f>[1]Assumptions!BP$4</f>
        <v>49399</v>
      </c>
      <c r="BQ4" s="12">
        <f>[1]Assumptions!BQ$4</f>
        <v>49490</v>
      </c>
      <c r="BR4" s="12">
        <f>[1]Assumptions!BR$4</f>
        <v>49582</v>
      </c>
      <c r="BS4" s="12">
        <f>[1]Assumptions!BS$4</f>
        <v>49674</v>
      </c>
      <c r="BT4" s="12">
        <f>[1]Assumptions!BT$4</f>
        <v>49765</v>
      </c>
      <c r="BU4" s="12">
        <f>[1]Assumptions!BU$4</f>
        <v>49856</v>
      </c>
      <c r="BV4" s="12">
        <f>[1]Assumptions!BV$4</f>
        <v>49948</v>
      </c>
      <c r="BW4" s="12">
        <f>[1]Assumptions!BW$4</f>
        <v>50040</v>
      </c>
      <c r="BX4" s="12">
        <f>[1]Assumptions!BX$4</f>
        <v>50130</v>
      </c>
      <c r="BY4" s="12">
        <f>[1]Assumptions!BY$4</f>
        <v>50221</v>
      </c>
      <c r="BZ4" s="12">
        <f>[1]Assumptions!BZ$4</f>
        <v>50313</v>
      </c>
      <c r="CA4" s="12">
        <f>[1]Assumptions!CA$4</f>
        <v>50405</v>
      </c>
      <c r="CB4" s="12">
        <f>[1]Assumptions!CB$4</f>
        <v>50495</v>
      </c>
      <c r="CC4" s="12">
        <f>[1]Assumptions!CC$4</f>
        <v>50586</v>
      </c>
      <c r="CD4" s="12">
        <f>[1]Assumptions!CD$4</f>
        <v>50678</v>
      </c>
      <c r="CE4" s="12">
        <f>[1]Assumptions!CE$4</f>
        <v>50770</v>
      </c>
      <c r="CF4" s="12">
        <f>[1]Assumptions!CF$4</f>
        <v>50860</v>
      </c>
      <c r="CG4" s="12">
        <f>[1]Assumptions!CG$4</f>
        <v>50951</v>
      </c>
      <c r="CH4" s="12">
        <f>[1]Assumptions!CH$4</f>
        <v>51043</v>
      </c>
      <c r="CI4" s="12">
        <f>[1]Assumptions!CI$4</f>
        <v>51135</v>
      </c>
      <c r="CJ4" s="12">
        <f>[1]Assumptions!CJ$4</f>
        <v>51226</v>
      </c>
      <c r="CK4" s="12">
        <f>[1]Assumptions!CK$4</f>
        <v>51317</v>
      </c>
      <c r="CL4" s="12">
        <f>[1]Assumptions!CL$4</f>
        <v>51409</v>
      </c>
      <c r="CM4" s="12">
        <f>[1]Assumptions!CM$4</f>
        <v>51501</v>
      </c>
      <c r="CN4" s="12">
        <f>[1]Assumptions!CN$4</f>
        <v>51591</v>
      </c>
      <c r="CO4" s="12">
        <f>[1]Assumptions!CO$4</f>
        <v>51682</v>
      </c>
      <c r="CP4" s="12">
        <f>[1]Assumptions!CP$4</f>
        <v>51774</v>
      </c>
      <c r="CQ4" s="12">
        <f>[1]Assumptions!CQ$4</f>
        <v>51866</v>
      </c>
      <c r="CR4" s="12">
        <f>[1]Assumptions!CR$4</f>
        <v>51956</v>
      </c>
      <c r="CS4" s="12">
        <f>[1]Assumptions!CS$4</f>
        <v>52047</v>
      </c>
      <c r="CT4" s="12">
        <f>[1]Assumptions!CT$4</f>
        <v>52139</v>
      </c>
      <c r="CU4" s="12">
        <f>[1]Assumptions!CU$4</f>
        <v>52231</v>
      </c>
      <c r="CV4" s="12">
        <f>[1]Assumptions!CV$4</f>
        <v>52321</v>
      </c>
      <c r="CW4" s="12">
        <f>[1]Assumptions!CW$4</f>
        <v>52412</v>
      </c>
      <c r="CX4" s="12">
        <f>[1]Assumptions!CX$4</f>
        <v>52504</v>
      </c>
      <c r="CY4" s="12">
        <f>[1]Assumptions!CY$4</f>
        <v>52596</v>
      </c>
      <c r="CZ4" s="12">
        <f>[1]Assumptions!CZ$4</f>
        <v>52687</v>
      </c>
      <c r="DA4" s="12">
        <f>[1]Assumptions!DA$4</f>
        <v>52778</v>
      </c>
      <c r="DB4" s="12">
        <f>[1]Assumptions!DB$4</f>
        <v>52870</v>
      </c>
      <c r="DC4" s="12">
        <f>[1]Assumptions!DC$4</f>
        <v>52962</v>
      </c>
      <c r="DD4" s="12">
        <f>[1]Assumptions!DD$4</f>
        <v>53052</v>
      </c>
      <c r="DE4" s="12">
        <f>[1]Assumptions!DE$4</f>
        <v>53143</v>
      </c>
      <c r="DF4" s="12">
        <f>[1]Assumptions!DF$4</f>
        <v>53235</v>
      </c>
      <c r="DG4" s="12">
        <f>[1]Assumptions!DG$4</f>
        <v>53327</v>
      </c>
      <c r="DH4" s="2"/>
    </row>
    <row r="5" spans="2:112" ht="15">
      <c r="B5" s="3" t="s">
        <v>137</v>
      </c>
      <c r="C5" s="2" t="s">
        <v>129</v>
      </c>
      <c r="D5" s="13" t="s">
        <v>141</v>
      </c>
      <c r="G5" s="8">
        <f>[1]Assumptions!G$20</f>
        <v>63.744886153846167</v>
      </c>
      <c r="H5" s="8">
        <f>[1]Assumptions!H$20</f>
        <v>66.62626607142856</v>
      </c>
      <c r="I5" s="8">
        <f>[1]Assumptions!I$20</f>
        <v>72.047914285714299</v>
      </c>
      <c r="J5" s="8">
        <f>[1]Assumptions!J$20</f>
        <v>73.568783333333315</v>
      </c>
      <c r="K5" s="8">
        <f>[1]Assumptions!K$20</f>
        <v>76.203010769230758</v>
      </c>
      <c r="L5" s="8">
        <f>[1]Assumptions!L$20</f>
        <v>74.368551785714288</v>
      </c>
      <c r="M5" s="8">
        <f>[1]Assumptions!M$20</f>
        <v>74.293575806451628</v>
      </c>
      <c r="N5" s="8">
        <f>[1]Assumptions!N$20</f>
        <v>73.470934848484859</v>
      </c>
      <c r="O5" s="8">
        <f>[1]Assumptions!O$20</f>
        <v>72.654304687499987</v>
      </c>
      <c r="P5" s="8">
        <f>[1]Assumptions!P$20</f>
        <v>87.347862500000005</v>
      </c>
      <c r="Q5" s="8">
        <f>[1]Assumptions!Q$20</f>
        <v>66.514140000000012</v>
      </c>
      <c r="R5" s="8">
        <f>[1]Assumptions!R$20</f>
        <v>59.478272727272739</v>
      </c>
      <c r="S5" s="8">
        <f>[1]Assumptions!S$20</f>
        <v>62.693696923076921</v>
      </c>
      <c r="T5" s="8">
        <f>[1]Assumptions!T$20</f>
        <v>72.97114285714288</v>
      </c>
      <c r="U5" s="8">
        <f>[1]Assumptions!U$20</f>
        <v>81.240191803278677</v>
      </c>
      <c r="V5" s="8">
        <f>[1]Assumptions!V$20</f>
        <v>94.200116666666645</v>
      </c>
      <c r="W5" s="8">
        <f>[1]Assumptions!W$20</f>
        <v>92.753353125000032</v>
      </c>
      <c r="X5" s="8">
        <f>[1]Assumptions!X$20</f>
        <v>90.800245614035106</v>
      </c>
      <c r="Y5" s="8">
        <f>[1]Assumptions!Y$20</f>
        <v>90.706754385964913</v>
      </c>
      <c r="Z5" s="8">
        <f>[1]Assumptions!Z$20</f>
        <v>89.233693846153855</v>
      </c>
      <c r="AA5" s="8">
        <f>[1]Assumptions!AA$20</f>
        <v>99.610025757575769</v>
      </c>
      <c r="AB5" s="8">
        <f>[1]Assumptions!AB$20</f>
        <v>93.988017013069722</v>
      </c>
      <c r="AC5" s="8">
        <f>[1]Assumptions!AC$20</f>
        <v>93.988017013069722</v>
      </c>
      <c r="AD5" s="8">
        <f>[1]Assumptions!AD$20</f>
        <v>93.988017013069722</v>
      </c>
      <c r="AE5" s="8">
        <f>[1]Assumptions!AE$20</f>
        <v>93.988017013069722</v>
      </c>
      <c r="AF5" s="8">
        <f>[1]Assumptions!AF$20</f>
        <v>102.44497982562082</v>
      </c>
      <c r="AG5" s="8">
        <f>[1]Assumptions!AG$20</f>
        <v>102.44497982562082</v>
      </c>
      <c r="AH5" s="8">
        <f>[1]Assumptions!AH$20</f>
        <v>102.44497982562082</v>
      </c>
      <c r="AI5" s="8">
        <f>[1]Assumptions!AI$20</f>
        <v>102.44497982562082</v>
      </c>
      <c r="AJ5" s="8">
        <f>[1]Assumptions!AJ$20</f>
        <v>106.22087707537483</v>
      </c>
      <c r="AK5" s="8">
        <f>[1]Assumptions!AK$20</f>
        <v>106.22087707537483</v>
      </c>
      <c r="AL5" s="8">
        <f>[1]Assumptions!AL$20</f>
        <v>106.22087707537483</v>
      </c>
      <c r="AM5" s="8">
        <f>[1]Assumptions!AM$20</f>
        <v>106.22087707537483</v>
      </c>
      <c r="AN5" s="8">
        <f>[1]Assumptions!AN$20</f>
        <v>109.93860777301296</v>
      </c>
      <c r="AO5" s="8">
        <f>[1]Assumptions!AO$20</f>
        <v>109.93860777301296</v>
      </c>
      <c r="AP5" s="8">
        <f>[1]Assumptions!AP$20</f>
        <v>109.93860777301296</v>
      </c>
      <c r="AQ5" s="8">
        <f>[1]Assumptions!AQ$20</f>
        <v>109.93860777301296</v>
      </c>
      <c r="AR5" s="8">
        <f>[1]Assumptions!AR$20</f>
        <v>113.78645904506841</v>
      </c>
      <c r="AS5" s="8">
        <f>[1]Assumptions!AS$20</f>
        <v>113.78645904506841</v>
      </c>
      <c r="AT5" s="8">
        <f>[1]Assumptions!AT$20</f>
        <v>113.78645904506841</v>
      </c>
      <c r="AU5" s="8">
        <f>[1]Assumptions!AU$20</f>
        <v>113.78645904506841</v>
      </c>
      <c r="AV5" s="8">
        <f>[1]Assumptions!AV$20</f>
        <v>117.76898511164582</v>
      </c>
      <c r="AW5" s="8">
        <f>[1]Assumptions!AW$20</f>
        <v>117.76898511164582</v>
      </c>
      <c r="AX5" s="8">
        <f>[1]Assumptions!AX$20</f>
        <v>117.76898511164582</v>
      </c>
      <c r="AY5" s="8">
        <f>[1]Assumptions!AY$20</f>
        <v>117.76898511164582</v>
      </c>
      <c r="AZ5" s="8">
        <f>[1]Assumptions!AZ$20</f>
        <v>120.11705992005095</v>
      </c>
      <c r="BA5" s="8">
        <f>[1]Assumptions!BA$20</f>
        <v>120.11705992005095</v>
      </c>
      <c r="BB5" s="8">
        <f>[1]Assumptions!BB$20</f>
        <v>120.11705992005095</v>
      </c>
      <c r="BC5" s="8">
        <f>[1]Assumptions!BC$20</f>
        <v>120.11705992005095</v>
      </c>
      <c r="BD5" s="8">
        <f>[1]Assumptions!BD$20</f>
        <v>122.51195057985056</v>
      </c>
      <c r="BE5" s="8">
        <f>[1]Assumptions!BE$20</f>
        <v>122.51195057985056</v>
      </c>
      <c r="BF5" s="8">
        <f>[1]Assumptions!BF$20</f>
        <v>122.51195057985056</v>
      </c>
      <c r="BG5" s="8">
        <f>[1]Assumptions!BG$20</f>
        <v>122.51195057985056</v>
      </c>
      <c r="BH5" s="8">
        <f>[1]Assumptions!BH$20</f>
        <v>124.95459050421104</v>
      </c>
      <c r="BI5" s="8">
        <f>[1]Assumptions!BI$20</f>
        <v>124.95459050421104</v>
      </c>
      <c r="BJ5" s="8">
        <f>[1]Assumptions!BJ$20</f>
        <v>124.95459050421104</v>
      </c>
      <c r="BK5" s="8">
        <f>[1]Assumptions!BK$20</f>
        <v>124.95459050421104</v>
      </c>
      <c r="BL5" s="8">
        <f>[1]Assumptions!BL$20</f>
        <v>127.44593171666496</v>
      </c>
      <c r="BM5" s="8">
        <f>[1]Assumptions!BM$20</f>
        <v>127.44593171666496</v>
      </c>
      <c r="BN5" s="8">
        <f>[1]Assumptions!BN$20</f>
        <v>127.44593171666496</v>
      </c>
      <c r="BO5" s="8">
        <f>[1]Assumptions!BO$20</f>
        <v>127.44593171666496</v>
      </c>
      <c r="BP5" s="8">
        <f>[1]Assumptions!BP$20</f>
        <v>129.98694522216411</v>
      </c>
      <c r="BQ5" s="8">
        <f>[1]Assumptions!BQ$20</f>
        <v>129.98694522216411</v>
      </c>
      <c r="BR5" s="8">
        <f>[1]Assumptions!BR$20</f>
        <v>129.98694522216411</v>
      </c>
      <c r="BS5" s="8">
        <f>[1]Assumptions!BS$20</f>
        <v>129.98694522216411</v>
      </c>
      <c r="BT5" s="8">
        <f>[1]Assumptions!BT$20</f>
        <v>132.57862138553045</v>
      </c>
      <c r="BU5" s="8">
        <f>[1]Assumptions!BU$20</f>
        <v>132.57862138553045</v>
      </c>
      <c r="BV5" s="8">
        <f>[1]Assumptions!BV$20</f>
        <v>132.57862138553045</v>
      </c>
      <c r="BW5" s="8">
        <f>[1]Assumptions!BW$20</f>
        <v>132.57862138553045</v>
      </c>
      <c r="BX5" s="8">
        <f>[1]Assumptions!BX$20</f>
        <v>135.22197031745279</v>
      </c>
      <c r="BY5" s="8">
        <f>[1]Assumptions!BY$20</f>
        <v>135.22197031745279</v>
      </c>
      <c r="BZ5" s="8">
        <f>[1]Assumptions!BZ$20</f>
        <v>135.22197031745279</v>
      </c>
      <c r="CA5" s="8">
        <f>[1]Assumptions!CA$20</f>
        <v>135.22197031745279</v>
      </c>
      <c r="CB5" s="8">
        <f>[1]Assumptions!CB$20</f>
        <v>137.91802226817913</v>
      </c>
      <c r="CC5" s="8">
        <f>[1]Assumptions!CC$20</f>
        <v>137.91802226817913</v>
      </c>
      <c r="CD5" s="8">
        <f>[1]Assumptions!CD$20</f>
        <v>137.91802226817913</v>
      </c>
      <c r="CE5" s="8">
        <f>[1]Assumptions!CE$20</f>
        <v>137.91802226817913</v>
      </c>
      <c r="CF5" s="8">
        <f>[1]Assumptions!CF$20</f>
        <v>140.66782802905891</v>
      </c>
      <c r="CG5" s="8">
        <f>[1]Assumptions!CG$20</f>
        <v>140.66782802905891</v>
      </c>
      <c r="CH5" s="8">
        <f>[1]Assumptions!CH$20</f>
        <v>140.66782802905891</v>
      </c>
      <c r="CI5" s="8">
        <f>[1]Assumptions!CI$20</f>
        <v>140.66782802905891</v>
      </c>
      <c r="CJ5" s="8">
        <f>[1]Assumptions!CJ$20</f>
        <v>143.4724593420907</v>
      </c>
      <c r="CK5" s="8">
        <f>[1]Assumptions!CK$20</f>
        <v>143.4724593420907</v>
      </c>
      <c r="CL5" s="8">
        <f>[1]Assumptions!CL$20</f>
        <v>143.4724593420907</v>
      </c>
      <c r="CM5" s="8">
        <f>[1]Assumptions!CM$20</f>
        <v>143.4724593420907</v>
      </c>
      <c r="CN5" s="8">
        <f>[1]Assumptions!CN$20</f>
        <v>146.33300931763583</v>
      </c>
      <c r="CO5" s="8">
        <f>[1]Assumptions!CO$20</f>
        <v>146.33300931763583</v>
      </c>
      <c r="CP5" s="8">
        <f>[1]Assumptions!CP$20</f>
        <v>146.33300931763583</v>
      </c>
      <c r="CQ5" s="8">
        <f>[1]Assumptions!CQ$20</f>
        <v>146.33300931763583</v>
      </c>
      <c r="CR5" s="8">
        <f>[1]Assumptions!CR$20</f>
        <v>149.2505928604601</v>
      </c>
      <c r="CS5" s="8">
        <f>[1]Assumptions!CS$20</f>
        <v>149.2505928604601</v>
      </c>
      <c r="CT5" s="8">
        <f>[1]Assumptions!CT$20</f>
        <v>149.2505928604601</v>
      </c>
      <c r="CU5" s="8">
        <f>[1]Assumptions!CU$20</f>
        <v>149.2505928604601</v>
      </c>
      <c r="CV5" s="8">
        <f>[1]Assumptions!CV$20</f>
        <v>152.2263471042701</v>
      </c>
      <c r="CW5" s="8">
        <f>[1]Assumptions!CW$20</f>
        <v>152.2263471042701</v>
      </c>
      <c r="CX5" s="8">
        <f>[1]Assumptions!CX$20</f>
        <v>152.2263471042701</v>
      </c>
      <c r="CY5" s="8">
        <f>[1]Assumptions!CY$20</f>
        <v>152.2263471042701</v>
      </c>
      <c r="CZ5" s="8">
        <f>[1]Assumptions!CZ$20</f>
        <v>155.26143185491321</v>
      </c>
      <c r="DA5" s="8">
        <f>[1]Assumptions!DA$20</f>
        <v>155.26143185491321</v>
      </c>
      <c r="DB5" s="8">
        <f>[1]Assumptions!DB$20</f>
        <v>155.26143185491321</v>
      </c>
      <c r="DC5" s="8">
        <f>[1]Assumptions!DC$20</f>
        <v>155.26143185491321</v>
      </c>
      <c r="DD5" s="8">
        <f>[1]Assumptions!DD$20</f>
        <v>158.35703004241412</v>
      </c>
      <c r="DE5" s="8">
        <f>[1]Assumptions!DE$20</f>
        <v>158.35703004241412</v>
      </c>
      <c r="DF5" s="8">
        <f>[1]Assumptions!DF$20</f>
        <v>158.35703004241412</v>
      </c>
      <c r="DG5" s="8">
        <f>[1]Assumptions!DG$20</f>
        <v>158.35703004241412</v>
      </c>
      <c r="DH5" s="2"/>
    </row>
    <row r="6" spans="2:112" ht="15">
      <c r="B6" s="3" t="s">
        <v>135</v>
      </c>
      <c r="C6" s="2" t="s">
        <v>136</v>
      </c>
      <c r="D6" s="13" t="s">
        <v>141</v>
      </c>
      <c r="G6" s="11">
        <f>[1]Assumptions!G40</f>
        <v>0</v>
      </c>
      <c r="H6" s="11">
        <f>[1]Assumptions!H40</f>
        <v>0</v>
      </c>
      <c r="I6" s="11">
        <f>[1]Assumptions!I40</f>
        <v>0</v>
      </c>
      <c r="J6" s="11">
        <f>[1]Assumptions!J40</f>
        <v>0</v>
      </c>
      <c r="K6" s="11">
        <f>[1]Assumptions!K40</f>
        <v>0</v>
      </c>
      <c r="L6" s="11">
        <f>[1]Assumptions!L40</f>
        <v>0</v>
      </c>
      <c r="M6" s="11">
        <f>[1]Assumptions!M40</f>
        <v>0</v>
      </c>
      <c r="N6" s="11">
        <f>[1]Assumptions!N40</f>
        <v>0</v>
      </c>
      <c r="O6" s="11">
        <f>[1]Assumptions!O40</f>
        <v>0</v>
      </c>
      <c r="P6" s="11">
        <f>[1]Assumptions!P40</f>
        <v>0</v>
      </c>
      <c r="Q6" s="11">
        <f>[1]Assumptions!Q40</f>
        <v>0</v>
      </c>
      <c r="R6" s="11">
        <f>[1]Assumptions!R40</f>
        <v>0</v>
      </c>
      <c r="S6" s="11">
        <f>[1]Assumptions!S40</f>
        <v>0</v>
      </c>
      <c r="T6" s="11">
        <f>[1]Assumptions!T40</f>
        <v>0</v>
      </c>
      <c r="U6" s="11">
        <f>[1]Assumptions!U40</f>
        <v>0</v>
      </c>
      <c r="V6" s="11">
        <f>[1]Assumptions!V40</f>
        <v>0</v>
      </c>
      <c r="W6" s="11">
        <f>[1]Assumptions!W40</f>
        <v>0</v>
      </c>
      <c r="X6" s="11">
        <f>[1]Assumptions!X40</f>
        <v>0</v>
      </c>
      <c r="Y6" s="11">
        <f>[1]Assumptions!Y40</f>
        <v>0</v>
      </c>
      <c r="Z6" s="11">
        <f>[1]Assumptions!Z40</f>
        <v>0</v>
      </c>
      <c r="AA6" s="11">
        <f>[1]Assumptions!AA40</f>
        <v>0</v>
      </c>
      <c r="AB6" s="11">
        <f>[1]Assumptions!AB40</f>
        <v>0</v>
      </c>
      <c r="AC6" s="11">
        <f>[1]Assumptions!AC40</f>
        <v>0</v>
      </c>
      <c r="AD6" s="11">
        <f>[1]Assumptions!AD40</f>
        <v>0</v>
      </c>
      <c r="AE6" s="11">
        <f>[1]Assumptions!AE40</f>
        <v>0</v>
      </c>
      <c r="AF6" s="11">
        <f>[1]Assumptions!AF40</f>
        <v>0</v>
      </c>
      <c r="AG6" s="11">
        <f>[1]Assumptions!AG40</f>
        <v>0</v>
      </c>
      <c r="AH6" s="11">
        <f>[1]Assumptions!AH40</f>
        <v>0</v>
      </c>
      <c r="AI6" s="11">
        <f>[1]Assumptions!AI40</f>
        <v>0</v>
      </c>
      <c r="AJ6" s="11">
        <f>[1]Assumptions!AJ40</f>
        <v>0</v>
      </c>
      <c r="AK6" s="11">
        <f>[1]Assumptions!AK40</f>
        <v>0</v>
      </c>
      <c r="AL6" s="11">
        <f>[1]Assumptions!AL40</f>
        <v>0</v>
      </c>
      <c r="AM6" s="11">
        <f>[1]Assumptions!AM40</f>
        <v>0</v>
      </c>
      <c r="AN6" s="11">
        <f>[1]Assumptions!AN40</f>
        <v>0</v>
      </c>
      <c r="AO6" s="11">
        <f>[1]Assumptions!AO40</f>
        <v>0</v>
      </c>
      <c r="AP6" s="11">
        <f>[1]Assumptions!AP40</f>
        <v>0</v>
      </c>
      <c r="AQ6" s="11">
        <f>[1]Assumptions!AQ40</f>
        <v>0</v>
      </c>
      <c r="AR6" s="11">
        <f>[1]Assumptions!AR40</f>
        <v>0</v>
      </c>
      <c r="AS6" s="11">
        <f>[1]Assumptions!AS40</f>
        <v>0</v>
      </c>
      <c r="AT6" s="11">
        <f>[1]Assumptions!AT40</f>
        <v>0</v>
      </c>
      <c r="AU6" s="11">
        <f>[1]Assumptions!AU40</f>
        <v>0</v>
      </c>
      <c r="AV6" s="11">
        <f>[1]Assumptions!AV40</f>
        <v>0</v>
      </c>
      <c r="AW6" s="11">
        <f>[1]Assumptions!AW40</f>
        <v>0</v>
      </c>
      <c r="AX6" s="11">
        <f>[1]Assumptions!AX40</f>
        <v>0</v>
      </c>
      <c r="AY6" s="11">
        <f>[1]Assumptions!AY40</f>
        <v>0</v>
      </c>
      <c r="AZ6" s="11">
        <f>[1]Assumptions!AZ40</f>
        <v>0</v>
      </c>
      <c r="BA6" s="11">
        <f>[1]Assumptions!BA40</f>
        <v>0</v>
      </c>
      <c r="BB6" s="11">
        <f>[1]Assumptions!BB40</f>
        <v>0</v>
      </c>
      <c r="BC6" s="11">
        <f>[1]Assumptions!BC40</f>
        <v>0</v>
      </c>
      <c r="BD6" s="11">
        <f>[1]Assumptions!BD40</f>
        <v>0.12000000000000001</v>
      </c>
      <c r="BE6" s="11">
        <f>[1]Assumptions!BE40</f>
        <v>0.12000000000000001</v>
      </c>
      <c r="BF6" s="11">
        <f>[1]Assumptions!BF40</f>
        <v>0.12000000000000001</v>
      </c>
      <c r="BG6" s="11">
        <f>[1]Assumptions!BG40</f>
        <v>0.12000000000000001</v>
      </c>
      <c r="BH6" s="11">
        <f>[1]Assumptions!BH40</f>
        <v>0.12000000000000001</v>
      </c>
      <c r="BI6" s="11">
        <f>[1]Assumptions!BI40</f>
        <v>0.12000000000000001</v>
      </c>
      <c r="BJ6" s="11">
        <f>[1]Assumptions!BJ40</f>
        <v>0.12000000000000001</v>
      </c>
      <c r="BK6" s="11">
        <f>[1]Assumptions!BK40</f>
        <v>0.12000000000000001</v>
      </c>
      <c r="BL6" s="11">
        <f>[1]Assumptions!BL40</f>
        <v>0.12000000000000001</v>
      </c>
      <c r="BM6" s="11">
        <f>[1]Assumptions!BM40</f>
        <v>0.12000000000000001</v>
      </c>
      <c r="BN6" s="11">
        <f>[1]Assumptions!BN40</f>
        <v>0.12000000000000001</v>
      </c>
      <c r="BO6" s="11">
        <f>[1]Assumptions!BO40</f>
        <v>0.12000000000000001</v>
      </c>
      <c r="BP6" s="11">
        <f>[1]Assumptions!BP40</f>
        <v>0.12000000000000001</v>
      </c>
      <c r="BQ6" s="11">
        <f>[1]Assumptions!BQ40</f>
        <v>0.12000000000000001</v>
      </c>
      <c r="BR6" s="11">
        <f>[1]Assumptions!BR40</f>
        <v>0.12000000000000001</v>
      </c>
      <c r="BS6" s="11">
        <f>[1]Assumptions!BS40</f>
        <v>0.12000000000000001</v>
      </c>
      <c r="BT6" s="11">
        <f>[1]Assumptions!BT40</f>
        <v>0.12000000000000001</v>
      </c>
      <c r="BU6" s="11">
        <f>[1]Assumptions!BU40</f>
        <v>0.12000000000000001</v>
      </c>
      <c r="BV6" s="11">
        <f>[1]Assumptions!BV40</f>
        <v>0.12000000000000001</v>
      </c>
      <c r="BW6" s="11">
        <f>[1]Assumptions!BW40</f>
        <v>0.12000000000000001</v>
      </c>
      <c r="BX6" s="11">
        <f>[1]Assumptions!BX40</f>
        <v>0.25</v>
      </c>
      <c r="BY6" s="11">
        <f>[1]Assumptions!BY40</f>
        <v>0.25</v>
      </c>
      <c r="BZ6" s="11">
        <f>[1]Assumptions!BZ40</f>
        <v>0.25</v>
      </c>
      <c r="CA6" s="11">
        <f>[1]Assumptions!CA40</f>
        <v>0.25</v>
      </c>
      <c r="CB6" s="11">
        <f>[1]Assumptions!CB40</f>
        <v>0.25</v>
      </c>
      <c r="CC6" s="11">
        <f>[1]Assumptions!CC40</f>
        <v>0.25</v>
      </c>
      <c r="CD6" s="11">
        <f>[1]Assumptions!CD40</f>
        <v>0.25</v>
      </c>
      <c r="CE6" s="11">
        <f>[1]Assumptions!CE40</f>
        <v>0.25</v>
      </c>
      <c r="CF6" s="11">
        <f>[1]Assumptions!CF40</f>
        <v>0.25</v>
      </c>
      <c r="CG6" s="11">
        <f>[1]Assumptions!CG40</f>
        <v>0.25</v>
      </c>
      <c r="CH6" s="11">
        <f>[1]Assumptions!CH40</f>
        <v>0.25</v>
      </c>
      <c r="CI6" s="11">
        <f>[1]Assumptions!CI40</f>
        <v>0.25</v>
      </c>
      <c r="CJ6" s="11">
        <f>[1]Assumptions!CJ40</f>
        <v>0.25</v>
      </c>
      <c r="CK6" s="11">
        <f>[1]Assumptions!CK40</f>
        <v>0.25</v>
      </c>
      <c r="CL6" s="11">
        <f>[1]Assumptions!CL40</f>
        <v>0.25</v>
      </c>
      <c r="CM6" s="11">
        <f>[1]Assumptions!CM40</f>
        <v>0.25</v>
      </c>
      <c r="CN6" s="11">
        <f>[1]Assumptions!CN40</f>
        <v>0.25</v>
      </c>
      <c r="CO6" s="11">
        <f>[1]Assumptions!CO40</f>
        <v>0.25</v>
      </c>
      <c r="CP6" s="11">
        <f>[1]Assumptions!CP40</f>
        <v>0.25</v>
      </c>
      <c r="CQ6" s="11">
        <f>[1]Assumptions!CQ40</f>
        <v>0.25</v>
      </c>
      <c r="CR6" s="11">
        <f>[1]Assumptions!CR40</f>
        <v>0.25</v>
      </c>
      <c r="CS6" s="11">
        <f>[1]Assumptions!CS40</f>
        <v>0.25</v>
      </c>
      <c r="CT6" s="11">
        <f>[1]Assumptions!CT40</f>
        <v>0.25</v>
      </c>
      <c r="CU6" s="11">
        <f>[1]Assumptions!CU40</f>
        <v>0.25</v>
      </c>
      <c r="CV6" s="11">
        <f>[1]Assumptions!CV40</f>
        <v>0.25</v>
      </c>
      <c r="CW6" s="11">
        <f>[1]Assumptions!CW40</f>
        <v>0.25</v>
      </c>
      <c r="CX6" s="11">
        <f>[1]Assumptions!CX40</f>
        <v>0.25</v>
      </c>
      <c r="CY6" s="11">
        <f>[1]Assumptions!CY40</f>
        <v>0.25</v>
      </c>
      <c r="CZ6" s="11">
        <f>[1]Assumptions!CZ40</f>
        <v>0.25</v>
      </c>
      <c r="DA6" s="11">
        <f>[1]Assumptions!DA40</f>
        <v>0.25</v>
      </c>
      <c r="DB6" s="11">
        <f>[1]Assumptions!DB40</f>
        <v>0.25</v>
      </c>
      <c r="DC6" s="11">
        <f>[1]Assumptions!DC40</f>
        <v>0.25</v>
      </c>
      <c r="DD6" s="11">
        <f>[1]Assumptions!DD40</f>
        <v>0.25</v>
      </c>
      <c r="DE6" s="11">
        <f>[1]Assumptions!DE40</f>
        <v>0.25</v>
      </c>
      <c r="DF6" s="11">
        <f>[1]Assumptions!DF40</f>
        <v>0.25</v>
      </c>
      <c r="DG6" s="11">
        <f>[1]Assumptions!DG40</f>
        <v>0.25</v>
      </c>
      <c r="DH6" s="2"/>
    </row>
    <row r="7" spans="2:112" ht="18" customHeight="1">
      <c r="B7" s="3" t="s">
        <v>12</v>
      </c>
      <c r="C7" s="4" t="s">
        <v>124</v>
      </c>
      <c r="D7" s="13" t="s">
        <v>141</v>
      </c>
      <c r="G7" s="6">
        <f>'[1]Sales&amp;OpEx'!G$12</f>
        <v>0</v>
      </c>
      <c r="H7" s="7">
        <f>'[1]Sales&amp;OpEx'!H$12</f>
        <v>0</v>
      </c>
      <c r="I7" s="6">
        <f>'[1]Sales&amp;OpEx'!I$12</f>
        <v>0</v>
      </c>
      <c r="J7" s="6">
        <f>'[1]Sales&amp;OpEx'!J$12</f>
        <v>0</v>
      </c>
      <c r="K7" s="6">
        <f>'[1]Sales&amp;OpEx'!K$12</f>
        <v>0</v>
      </c>
      <c r="L7" s="6">
        <f>'[1]Sales&amp;OpEx'!L$12</f>
        <v>0</v>
      </c>
      <c r="M7" s="6">
        <f>'[1]Sales&amp;OpEx'!M$12</f>
        <v>0</v>
      </c>
      <c r="N7" s="6">
        <f>'[1]Sales&amp;OpEx'!N$12</f>
        <v>0</v>
      </c>
      <c r="O7" s="6">
        <f>'[1]Sales&amp;OpEx'!O$12</f>
        <v>0</v>
      </c>
      <c r="P7" s="6">
        <f>'[1]Sales&amp;OpEx'!P$12</f>
        <v>0</v>
      </c>
      <c r="Q7" s="6">
        <f>'[1]Sales&amp;OpEx'!Q$12</f>
        <v>0</v>
      </c>
      <c r="R7" s="6">
        <f>'[1]Sales&amp;OpEx'!R$12</f>
        <v>0</v>
      </c>
      <c r="S7" s="6">
        <f>'[1]Sales&amp;OpEx'!S$12</f>
        <v>0</v>
      </c>
      <c r="T7" s="6">
        <f>'[1]Sales&amp;OpEx'!T$12</f>
        <v>0</v>
      </c>
      <c r="U7" s="6">
        <f>'[1]Sales&amp;OpEx'!U$12</f>
        <v>0</v>
      </c>
      <c r="V7" s="6">
        <f>'[1]Sales&amp;OpEx'!V$12</f>
        <v>0</v>
      </c>
      <c r="W7" s="6">
        <f>'[1]Sales&amp;OpEx'!W$12</f>
        <v>0</v>
      </c>
      <c r="X7" s="6">
        <f>'[1]Sales&amp;OpEx'!X$12</f>
        <v>0</v>
      </c>
      <c r="Y7" s="6">
        <f>'[1]Sales&amp;OpEx'!Y$12</f>
        <v>0</v>
      </c>
      <c r="Z7" s="6">
        <f>'[1]Sales&amp;OpEx'!Z$12</f>
        <v>0</v>
      </c>
      <c r="AA7" s="6">
        <f>'[1]Sales&amp;OpEx'!AA$12</f>
        <v>0</v>
      </c>
      <c r="AB7" s="6">
        <f>'[1]Sales&amp;OpEx'!AB$12</f>
        <v>0</v>
      </c>
      <c r="AC7" s="6">
        <f>'[1]Sales&amp;OpEx'!AC$12</f>
        <v>0</v>
      </c>
      <c r="AD7" s="6">
        <f>'[1]Sales&amp;OpEx'!AD$12</f>
        <v>0</v>
      </c>
      <c r="AE7" s="6">
        <f>'[1]Sales&amp;OpEx'!AE$12</f>
        <v>0</v>
      </c>
      <c r="AF7" s="6">
        <f>'[1]Sales&amp;OpEx'!AF$12</f>
        <v>0</v>
      </c>
      <c r="AG7" s="6">
        <f>'[1]Sales&amp;OpEx'!AG$12</f>
        <v>0</v>
      </c>
      <c r="AH7" s="6">
        <f>'[1]Sales&amp;OpEx'!AH$12</f>
        <v>0</v>
      </c>
      <c r="AI7" s="6">
        <f>'[1]Sales&amp;OpEx'!AI$12</f>
        <v>0</v>
      </c>
      <c r="AJ7" s="6">
        <f>'[1]Sales&amp;OpEx'!AJ$12</f>
        <v>0</v>
      </c>
      <c r="AK7" s="6">
        <f>'[1]Sales&amp;OpEx'!AK$12</f>
        <v>448.76712328767127</v>
      </c>
      <c r="AL7" s="6">
        <f>'[1]Sales&amp;OpEx'!AL$12</f>
        <v>453.69863013698631</v>
      </c>
      <c r="AM7" s="6">
        <f>'[1]Sales&amp;OpEx'!AM$12</f>
        <v>453.69863013698631</v>
      </c>
      <c r="AN7" s="6">
        <f>'[1]Sales&amp;OpEx'!AN$12</f>
        <v>447.54098360655735</v>
      </c>
      <c r="AO7" s="6">
        <f>'[1]Sales&amp;OpEx'!AO$12</f>
        <v>447.54098360655735</v>
      </c>
      <c r="AP7" s="6">
        <f>'[1]Sales&amp;OpEx'!AP$12</f>
        <v>452.45901639344265</v>
      </c>
      <c r="AQ7" s="6">
        <f>'[1]Sales&amp;OpEx'!AQ$12</f>
        <v>452.45901639344265</v>
      </c>
      <c r="AR7" s="6">
        <f>'[1]Sales&amp;OpEx'!AR$12</f>
        <v>443.83561643835617</v>
      </c>
      <c r="AS7" s="6">
        <f>'[1]Sales&amp;OpEx'!AS$12</f>
        <v>448.76712328767127</v>
      </c>
      <c r="AT7" s="6">
        <f>'[1]Sales&amp;OpEx'!AT$12</f>
        <v>305.75342465753431</v>
      </c>
      <c r="AU7" s="6">
        <f>'[1]Sales&amp;OpEx'!AU$12</f>
        <v>453.69863013698631</v>
      </c>
      <c r="AV7" s="6">
        <f>'[1]Sales&amp;OpEx'!AV$12</f>
        <v>443.83561643835617</v>
      </c>
      <c r="AW7" s="6">
        <f>'[1]Sales&amp;OpEx'!AW$12</f>
        <v>448.76712328767127</v>
      </c>
      <c r="AX7" s="6">
        <f>'[1]Sales&amp;OpEx'!AX$12</f>
        <v>453.69863013698631</v>
      </c>
      <c r="AY7" s="6">
        <f>'[1]Sales&amp;OpEx'!AY$12</f>
        <v>453.69863013698631</v>
      </c>
      <c r="AZ7" s="6">
        <f>'[1]Sales&amp;OpEx'!AZ$12</f>
        <v>443.83561643835617</v>
      </c>
      <c r="BA7" s="6">
        <f>'[1]Sales&amp;OpEx'!BA$12</f>
        <v>448.76712328767127</v>
      </c>
      <c r="BB7" s="6">
        <f>'[1]Sales&amp;OpEx'!BB$12</f>
        <v>305.75342465753431</v>
      </c>
      <c r="BC7" s="6">
        <f>'[1]Sales&amp;OpEx'!BC$12</f>
        <v>453.69863013698631</v>
      </c>
      <c r="BD7" s="6">
        <f>'[1]Sales&amp;OpEx'!BD$12</f>
        <v>447.54098360655735</v>
      </c>
      <c r="BE7" s="6">
        <f>'[1]Sales&amp;OpEx'!BE$12</f>
        <v>447.54098360655735</v>
      </c>
      <c r="BF7" s="6">
        <f>'[1]Sales&amp;OpEx'!BF$12</f>
        <v>452.45901639344265</v>
      </c>
      <c r="BG7" s="6">
        <f>'[1]Sales&amp;OpEx'!BG$12</f>
        <v>452.45901639344265</v>
      </c>
      <c r="BH7" s="6">
        <f>'[1]Sales&amp;OpEx'!BH$12</f>
        <v>443.83561643835617</v>
      </c>
      <c r="BI7" s="6">
        <f>'[1]Sales&amp;OpEx'!BI$12</f>
        <v>448.76712328767127</v>
      </c>
      <c r="BJ7" s="6">
        <f>'[1]Sales&amp;OpEx'!BJ$12</f>
        <v>305.75342465753431</v>
      </c>
      <c r="BK7" s="6">
        <f>'[1]Sales&amp;OpEx'!BK$12</f>
        <v>453.69863013698631</v>
      </c>
      <c r="BL7" s="6">
        <f>'[1]Sales&amp;OpEx'!BL$12</f>
        <v>443.83561643835617</v>
      </c>
      <c r="BM7" s="6">
        <f>'[1]Sales&amp;OpEx'!BM$12</f>
        <v>448.76712328767127</v>
      </c>
      <c r="BN7" s="6">
        <f>'[1]Sales&amp;OpEx'!BN$12</f>
        <v>453.69863013698631</v>
      </c>
      <c r="BO7" s="6">
        <f>'[1]Sales&amp;OpEx'!BO$12</f>
        <v>453.69863013698631</v>
      </c>
      <c r="BP7" s="6">
        <f>'[1]Sales&amp;OpEx'!BP$12</f>
        <v>443.83561643835617</v>
      </c>
      <c r="BQ7" s="6">
        <f>'[1]Sales&amp;OpEx'!BQ$12</f>
        <v>448.76712328767127</v>
      </c>
      <c r="BR7" s="6">
        <f>'[1]Sales&amp;OpEx'!BR$12</f>
        <v>305.75342465753431</v>
      </c>
      <c r="BS7" s="6">
        <f>'[1]Sales&amp;OpEx'!BS$12</f>
        <v>453.69863013698631</v>
      </c>
      <c r="BT7" s="6">
        <f>'[1]Sales&amp;OpEx'!BT$12</f>
        <v>447.54098360655735</v>
      </c>
      <c r="BU7" s="6">
        <f>'[1]Sales&amp;OpEx'!BU$12</f>
        <v>447.54098360655735</v>
      </c>
      <c r="BV7" s="6">
        <f>'[1]Sales&amp;OpEx'!BV$12</f>
        <v>452.45901639344265</v>
      </c>
      <c r="BW7" s="6">
        <f>'[1]Sales&amp;OpEx'!BW$12</f>
        <v>452.45901639344265</v>
      </c>
      <c r="BX7" s="6">
        <f>'[1]Sales&amp;OpEx'!BX$12</f>
        <v>443.83561643835617</v>
      </c>
      <c r="BY7" s="6">
        <f>'[1]Sales&amp;OpEx'!BY$12</f>
        <v>448.76712328767127</v>
      </c>
      <c r="BZ7" s="6">
        <f>'[1]Sales&amp;OpEx'!BZ$12</f>
        <v>305.75342465753431</v>
      </c>
      <c r="CA7" s="6">
        <f>'[1]Sales&amp;OpEx'!CA$12</f>
        <v>453.69863013698631</v>
      </c>
      <c r="CB7" s="6">
        <f>'[1]Sales&amp;OpEx'!CB$12</f>
        <v>443.83561643835617</v>
      </c>
      <c r="CC7" s="6">
        <f>'[1]Sales&amp;OpEx'!CC$12</f>
        <v>448.76712328767127</v>
      </c>
      <c r="CD7" s="6">
        <f>'[1]Sales&amp;OpEx'!CD$12</f>
        <v>453.69863013698631</v>
      </c>
      <c r="CE7" s="6">
        <f>'[1]Sales&amp;OpEx'!CE$12</f>
        <v>453.69863013698631</v>
      </c>
      <c r="CF7" s="6">
        <f>'[1]Sales&amp;OpEx'!CF$12</f>
        <v>443.83561643835617</v>
      </c>
      <c r="CG7" s="6">
        <f>'[1]Sales&amp;OpEx'!CG$12</f>
        <v>448.76712328767127</v>
      </c>
      <c r="CH7" s="6">
        <f>'[1]Sales&amp;OpEx'!CH$12</f>
        <v>305.75342465753431</v>
      </c>
      <c r="CI7" s="6">
        <f>'[1]Sales&amp;OpEx'!CI$12</f>
        <v>453.69863013698631</v>
      </c>
      <c r="CJ7" s="6">
        <f>'[1]Sales&amp;OpEx'!CJ$12</f>
        <v>447.54098360655735</v>
      </c>
      <c r="CK7" s="6">
        <f>'[1]Sales&amp;OpEx'!CK$12</f>
        <v>447.54098360655735</v>
      </c>
      <c r="CL7" s="6">
        <f>'[1]Sales&amp;OpEx'!CL$12</f>
        <v>452.45901639344265</v>
      </c>
      <c r="CM7" s="6">
        <f>'[1]Sales&amp;OpEx'!CM$12</f>
        <v>452.45901639344265</v>
      </c>
      <c r="CN7" s="6">
        <f>'[1]Sales&amp;OpEx'!CN$12</f>
        <v>443.83561643835617</v>
      </c>
      <c r="CO7" s="6">
        <f>'[1]Sales&amp;OpEx'!CO$12</f>
        <v>448.76712328767127</v>
      </c>
      <c r="CP7" s="6">
        <f>'[1]Sales&amp;OpEx'!CP$12</f>
        <v>305.75342465753431</v>
      </c>
      <c r="CQ7" s="6">
        <f>'[1]Sales&amp;OpEx'!CQ$12</f>
        <v>453.69863013698631</v>
      </c>
      <c r="CR7" s="6">
        <f>'[1]Sales&amp;OpEx'!CR$12</f>
        <v>443.83561643835617</v>
      </c>
      <c r="CS7" s="6">
        <f>'[1]Sales&amp;OpEx'!CS$12</f>
        <v>448.76712328767127</v>
      </c>
      <c r="CT7" s="6">
        <f>'[1]Sales&amp;OpEx'!CT$12</f>
        <v>453.69863013698631</v>
      </c>
      <c r="CU7" s="6">
        <f>'[1]Sales&amp;OpEx'!CU$12</f>
        <v>453.69863013698631</v>
      </c>
      <c r="CV7" s="6">
        <f>'[1]Sales&amp;OpEx'!CV$12</f>
        <v>443.83561643835617</v>
      </c>
      <c r="CW7" s="6">
        <f>'[1]Sales&amp;OpEx'!CW$12</f>
        <v>448.76712328767127</v>
      </c>
      <c r="CX7" s="6">
        <f>'[1]Sales&amp;OpEx'!CX$12</f>
        <v>305.75342465753431</v>
      </c>
      <c r="CY7" s="6">
        <f>'[1]Sales&amp;OpEx'!CY$12</f>
        <v>453.69863013698631</v>
      </c>
      <c r="CZ7" s="6">
        <f>'[1]Sales&amp;OpEx'!CZ$12</f>
        <v>447.54098360655735</v>
      </c>
      <c r="DA7" s="6">
        <f>'[1]Sales&amp;OpEx'!DA$12</f>
        <v>447.54098360655735</v>
      </c>
      <c r="DB7" s="6">
        <f>'[1]Sales&amp;OpEx'!DB$12</f>
        <v>452.45901639344265</v>
      </c>
      <c r="DC7" s="6">
        <f>'[1]Sales&amp;OpEx'!DC$12</f>
        <v>452.45901639344265</v>
      </c>
      <c r="DD7" s="6">
        <f>'[1]Sales&amp;OpEx'!DD$12</f>
        <v>443.83561643835617</v>
      </c>
      <c r="DE7" s="6">
        <f>'[1]Sales&amp;OpEx'!DE$12</f>
        <v>448.76712328767127</v>
      </c>
      <c r="DF7" s="6">
        <f>'[1]Sales&amp;OpEx'!DF$12</f>
        <v>305.75342465753431</v>
      </c>
      <c r="DG7" s="6">
        <f>'[1]Sales&amp;OpEx'!DG$12</f>
        <v>453.69863013698631</v>
      </c>
    </row>
    <row r="8" spans="2:112" ht="18" customHeight="1">
      <c r="B8" s="3" t="s">
        <v>13</v>
      </c>
      <c r="C8" s="4" t="s">
        <v>128</v>
      </c>
      <c r="D8" s="13" t="s">
        <v>141</v>
      </c>
      <c r="G8" s="7">
        <f>'[1]Sales&amp;OpEx'!G$15</f>
        <v>0</v>
      </c>
      <c r="H8" s="7">
        <f>'[1]Sales&amp;OpEx'!H$15</f>
        <v>199.91653277686515</v>
      </c>
      <c r="I8" s="6">
        <f>'[1]Sales&amp;OpEx'!I$15</f>
        <v>199.91653277686515</v>
      </c>
      <c r="J8" s="6">
        <f>'[1]Sales&amp;OpEx'!J$15</f>
        <v>199.91653277686515</v>
      </c>
      <c r="K8" s="6">
        <f>'[1]Sales&amp;OpEx'!K$15</f>
        <v>199.91653277686515</v>
      </c>
      <c r="L8" s="6">
        <f>'[1]Sales&amp;OpEx'!L$15</f>
        <v>321.04523269037162</v>
      </c>
      <c r="M8" s="6">
        <f>'[1]Sales&amp;OpEx'!M$15</f>
        <v>321.51159466378704</v>
      </c>
      <c r="N8" s="6">
        <f>'[1]Sales&amp;OpEx'!N$15</f>
        <v>321.97591549643124</v>
      </c>
      <c r="O8" s="6">
        <f>'[1]Sales&amp;OpEx'!O$15</f>
        <v>322.43314088010874</v>
      </c>
      <c r="P8" s="6">
        <f>'[1]Sales&amp;OpEx'!P$15</f>
        <v>267.27652730470481</v>
      </c>
      <c r="Q8" s="6">
        <f>'[1]Sales&amp;OpEx'!Q$15</f>
        <v>267.99163516638498</v>
      </c>
      <c r="R8" s="6">
        <f>'[1]Sales&amp;OpEx'!R$15</f>
        <v>268.70211005080722</v>
      </c>
      <c r="S8" s="6">
        <f>'[1]Sales&amp;OpEx'!S$15</f>
        <v>269.40024276547649</v>
      </c>
      <c r="T8" s="6">
        <f>'[1]Sales&amp;OpEx'!T$15</f>
        <v>249.58619053437565</v>
      </c>
      <c r="U8" s="6">
        <f>'[1]Sales&amp;OpEx'!U$15</f>
        <v>251.37141648645252</v>
      </c>
      <c r="V8" s="6">
        <f>'[1]Sales&amp;OpEx'!V$15</f>
        <v>253.18924116195294</v>
      </c>
      <c r="W8" s="6">
        <f>'[1]Sales&amp;OpEx'!W$15</f>
        <v>255.02021167001075</v>
      </c>
      <c r="X8" s="6">
        <f>'[1]Sales&amp;OpEx'!X$15</f>
        <v>269.04363106137896</v>
      </c>
      <c r="Y8" s="6">
        <f>'[1]Sales&amp;OpEx'!Y$15</f>
        <v>270.56905996764698</v>
      </c>
      <c r="Z8" s="6">
        <f>'[1]Sales&amp;OpEx'!Z$15</f>
        <v>272.1200440049011</v>
      </c>
      <c r="AA8" s="6">
        <f>'[1]Sales&amp;OpEx'!AA$15</f>
        <v>273.67991875376913</v>
      </c>
      <c r="AB8" s="6">
        <f>'[1]Sales&amp;OpEx'!AB$15</f>
        <v>277.61823989644694</v>
      </c>
      <c r="AC8" s="6">
        <f>'[1]Sales&amp;OpEx'!AC$15</f>
        <v>278.99225610320173</v>
      </c>
      <c r="AD8" s="6">
        <f>'[1]Sales&amp;OpEx'!AD$15</f>
        <v>280.38828443941793</v>
      </c>
      <c r="AE8" s="6">
        <f>'[1]Sales&amp;OpEx'!AE$15</f>
        <v>281.79129825667479</v>
      </c>
      <c r="AF8" s="6">
        <f>'[1]Sales&amp;OpEx'!AF$15</f>
        <v>287.15011462950901</v>
      </c>
      <c r="AG8" s="6">
        <f>'[1]Sales&amp;OpEx'!AG$15</f>
        <v>288.57130695253363</v>
      </c>
      <c r="AH8" s="6">
        <f>'[1]Sales&amp;OpEx'!AH$15</f>
        <v>290.01526717978692</v>
      </c>
      <c r="AI8" s="6">
        <f>'[1]Sales&amp;OpEx'!AI$15</f>
        <v>291.46645273086017</v>
      </c>
      <c r="AJ8" s="6">
        <f>'[1]Sales&amp;OpEx'!AJ$15</f>
        <v>279.38861312319938</v>
      </c>
      <c r="AK8" s="6">
        <f>'[1]Sales&amp;OpEx'!AK$15</f>
        <v>280.77139143977257</v>
      </c>
      <c r="AL8" s="6">
        <f>'[1]Sales&amp;OpEx'!AL$15</f>
        <v>282.17632225729233</v>
      </c>
      <c r="AM8" s="6">
        <f>'[1]Sales&amp;OpEx'!AM$15</f>
        <v>283.58828310230859</v>
      </c>
      <c r="AN8" s="6">
        <f>'[1]Sales&amp;OpEx'!AN$15</f>
        <v>342.18747737453799</v>
      </c>
      <c r="AO8" s="6">
        <f>'[1]Sales&amp;OpEx'!AO$15</f>
        <v>343.87642747438122</v>
      </c>
      <c r="AP8" s="6">
        <f>'[1]Sales&amp;OpEx'!AP$15</f>
        <v>345.59241175898086</v>
      </c>
      <c r="AQ8" s="6">
        <f>'[1]Sales&amp;OpEx'!AQ$15</f>
        <v>347.31695900931396</v>
      </c>
      <c r="AR8" s="6">
        <f>'[1]Sales&amp;OpEx'!AR$15</f>
        <v>357.81659450698106</v>
      </c>
      <c r="AS8" s="6">
        <f>'[1]Sales&amp;OpEx'!AS$15</f>
        <v>359.58753650301776</v>
      </c>
      <c r="AT8" s="6">
        <f>'[1]Sales&amp;OpEx'!AT$15</f>
        <v>361.386849492274</v>
      </c>
      <c r="AU8" s="6">
        <f>'[1]Sales&amp;OpEx'!AU$15</f>
        <v>363.19516592827028</v>
      </c>
      <c r="AV8" s="6">
        <f>'[1]Sales&amp;OpEx'!AV$15</f>
        <v>375.44444487550965</v>
      </c>
      <c r="AW8" s="6">
        <f>'[1]Sales&amp;OpEx'!AW$15</f>
        <v>377.30263240737867</v>
      </c>
      <c r="AX8" s="6">
        <f>'[1]Sales&amp;OpEx'!AX$15</f>
        <v>379.19058863070416</v>
      </c>
      <c r="AY8" s="6">
        <f>'[1]Sales&amp;OpEx'!AY$15</f>
        <v>381.08799185597201</v>
      </c>
      <c r="AZ8" s="6">
        <f>'[1]Sales&amp;OpEx'!AZ$15</f>
        <v>384.47918360844216</v>
      </c>
      <c r="BA8" s="6">
        <f>'[1]Sales&amp;OpEx'!BA$15</f>
        <v>386.38208678092423</v>
      </c>
      <c r="BB8" s="6">
        <f>'[1]Sales&amp;OpEx'!BB$15</f>
        <v>388.31547500211201</v>
      </c>
      <c r="BC8" s="6">
        <f>'[1]Sales&amp;OpEx'!BC$15</f>
        <v>390.25853755899413</v>
      </c>
      <c r="BD8" s="6">
        <f>'[1]Sales&amp;OpEx'!BD$15</f>
        <v>393.41433406898631</v>
      </c>
      <c r="BE8" s="6">
        <f>'[1]Sales&amp;OpEx'!BE$15</f>
        <v>395.35612686603321</v>
      </c>
      <c r="BF8" s="6">
        <f>'[1]Sales&amp;OpEx'!BF$15</f>
        <v>397.32900097521554</v>
      </c>
      <c r="BG8" s="6">
        <f>'[1]Sales&amp;OpEx'!BG$15</f>
        <v>399.31171996091842</v>
      </c>
      <c r="BH8" s="6">
        <f>'[1]Sales&amp;OpEx'!BH$15</f>
        <v>402.53292461681849</v>
      </c>
      <c r="BI8" s="6">
        <f>'[1]Sales&amp;OpEx'!BI$15</f>
        <v>404.52518118606349</v>
      </c>
      <c r="BJ8" s="6">
        <f>'[1]Sales&amp;OpEx'!BJ$15</f>
        <v>406.54935427078101</v>
      </c>
      <c r="BK8" s="6">
        <f>'[1]Sales&amp;OpEx'!BK$15</f>
        <v>408.58365596273364</v>
      </c>
      <c r="BL8" s="6">
        <f>'[1]Sales&amp;OpEx'!BL$15</f>
        <v>411.88849788665669</v>
      </c>
      <c r="BM8" s="6">
        <f>'[1]Sales&amp;OpEx'!BM$15</f>
        <v>413.92705800317952</v>
      </c>
      <c r="BN8" s="6">
        <f>'[1]Sales&amp;OpEx'!BN$15</f>
        <v>415.9982764311394</v>
      </c>
      <c r="BO8" s="6">
        <f>'[1]Sales&amp;OpEx'!BO$15</f>
        <v>418.07985887298378</v>
      </c>
      <c r="BP8" s="6">
        <f>'[1]Sales&amp;OpEx'!BP$15</f>
        <v>421.4705910481722</v>
      </c>
      <c r="BQ8" s="6">
        <f>'[1]Sales&amp;OpEx'!BQ$15</f>
        <v>423.55657582707835</v>
      </c>
      <c r="BR8" s="6">
        <f>'[1]Sales&amp;OpEx'!BR$15</f>
        <v>425.67597867396807</v>
      </c>
      <c r="BS8" s="6">
        <f>'[1]Sales&amp;OpEx'!BS$15</f>
        <v>427.80598664112688</v>
      </c>
      <c r="BT8" s="6">
        <f>'[1]Sales&amp;OpEx'!BT$15</f>
        <v>430.61001697294466</v>
      </c>
      <c r="BU8" s="6">
        <f>'[1]Sales&amp;OpEx'!BU$15</f>
        <v>432.73539817257245</v>
      </c>
      <c r="BV8" s="6">
        <f>'[1]Sales&amp;OpEx'!BV$15</f>
        <v>434.8947992926432</v>
      </c>
      <c r="BW8" s="6">
        <f>'[1]Sales&amp;OpEx'!BW$15</f>
        <v>437.06497608121038</v>
      </c>
      <c r="BX8" s="6">
        <f>'[1]Sales&amp;OpEx'!BX$15</f>
        <v>439.9141546768451</v>
      </c>
      <c r="BY8" s="6">
        <f>'[1]Sales&amp;OpEx'!BY$15</f>
        <v>442.09142220196253</v>
      </c>
      <c r="BZ8" s="6">
        <f>'[1]Sales&amp;OpEx'!BZ$15</f>
        <v>444.30357017055621</v>
      </c>
      <c r="CA8" s="6">
        <f>'[1]Sales&amp;OpEx'!CA$15</f>
        <v>446.52678733974773</v>
      </c>
      <c r="CB8" s="6">
        <f>'[1]Sales&amp;OpEx'!CB$15</f>
        <v>449.44009644622042</v>
      </c>
      <c r="CC8" s="6">
        <f>'[1]Sales&amp;OpEx'!CC$15</f>
        <v>451.66451072358524</v>
      </c>
      <c r="CD8" s="6">
        <f>'[1]Sales&amp;OpEx'!CD$15</f>
        <v>453.92456074877344</v>
      </c>
      <c r="CE8" s="6">
        <f>'[1]Sales&amp;OpEx'!CE$15</f>
        <v>456.19591966805245</v>
      </c>
      <c r="CF8" s="6">
        <f>'[1]Sales&amp;OpEx'!CF$15</f>
        <v>459.17482128374701</v>
      </c>
      <c r="CG8" s="6">
        <f>'[1]Sales&amp;OpEx'!CG$15</f>
        <v>461.44741564358782</v>
      </c>
      <c r="CH8" s="6">
        <f>'[1]Sales&amp;OpEx'!CH$15</f>
        <v>463.75641760984274</v>
      </c>
      <c r="CI8" s="6">
        <f>'[1]Sales&amp;OpEx'!CI$15</f>
        <v>466.07697341711918</v>
      </c>
      <c r="CJ8" s="6">
        <f>'[1]Sales&amp;OpEx'!CJ$15</f>
        <v>469.14208721110015</v>
      </c>
      <c r="CK8" s="6">
        <f>'[1]Sales&amp;OpEx'!CK$15</f>
        <v>471.45765288029196</v>
      </c>
      <c r="CL8" s="6">
        <f>'[1]Sales&amp;OpEx'!CL$15</f>
        <v>473.81028265819987</v>
      </c>
      <c r="CM8" s="6">
        <f>'[1]Sales&amp;OpEx'!CM$15</f>
        <v>476.17465233859627</v>
      </c>
      <c r="CN8" s="6">
        <f>'[1]Sales&amp;OpEx'!CN$15</f>
        <v>478.50542254869123</v>
      </c>
      <c r="CO8" s="6">
        <f>'[1]Sales&amp;OpEx'!CO$15</f>
        <v>480.87368987092191</v>
      </c>
      <c r="CP8" s="6">
        <f>'[1]Sales&amp;OpEx'!CP$15</f>
        <v>483.27989750756814</v>
      </c>
      <c r="CQ8" s="6">
        <f>'[1]Sales&amp;OpEx'!CQ$15</f>
        <v>485.69814538536821</v>
      </c>
      <c r="CR8" s="6">
        <f>'[1]Sales&amp;OpEx'!CR$15</f>
        <v>488.0755309996652</v>
      </c>
      <c r="CS8" s="6">
        <f>'[1]Sales&amp;OpEx'!CS$15</f>
        <v>490.49116366834039</v>
      </c>
      <c r="CT8" s="6">
        <f>'[1]Sales&amp;OpEx'!CT$15</f>
        <v>492.94549545771946</v>
      </c>
      <c r="CU8" s="6">
        <f>'[1]Sales&amp;OpEx'!CU$15</f>
        <v>495.41210829307551</v>
      </c>
      <c r="CV8" s="6">
        <f>'[1]Sales&amp;OpEx'!CV$15</f>
        <v>497.83704161965841</v>
      </c>
      <c r="CW8" s="6">
        <f>'[1]Sales&amp;OpEx'!CW$15</f>
        <v>500.30098694170715</v>
      </c>
      <c r="CX8" s="6">
        <f>'[1]Sales&amp;OpEx'!CX$15</f>
        <v>502.80440536687382</v>
      </c>
      <c r="CY8" s="6">
        <f>'[1]Sales&amp;OpEx'!CY$15</f>
        <v>505.32035045893701</v>
      </c>
      <c r="CZ8" s="6">
        <f>'[1]Sales&amp;OpEx'!CZ$15</f>
        <v>507.81448280682031</v>
      </c>
      <c r="DA8" s="6">
        <f>'[1]Sales&amp;OpEx'!DA$15</f>
        <v>510.32092555574553</v>
      </c>
      <c r="DB8" s="6">
        <f>'[1]Sales&amp;OpEx'!DB$15</f>
        <v>512.86748768792654</v>
      </c>
      <c r="DC8" s="6">
        <f>'[1]Sales&amp;OpEx'!DC$15</f>
        <v>515.42675746811574</v>
      </c>
      <c r="DD8" s="6">
        <f>'[1]Sales&amp;OpEx'!DD$15</f>
        <v>517.94965810109261</v>
      </c>
      <c r="DE8" s="6">
        <f>'[1]Sales&amp;OpEx'!DE$15</f>
        <v>520.51314681415215</v>
      </c>
      <c r="DF8" s="6">
        <f>'[1]Sales&amp;OpEx'!DF$15</f>
        <v>523.11770334369555</v>
      </c>
      <c r="DG8" s="6">
        <f>'[1]Sales&amp;OpEx'!DG$15</f>
        <v>525.73529261747808</v>
      </c>
    </row>
    <row r="9" spans="2:112" ht="18" customHeight="1">
      <c r="B9" s="1" t="s">
        <v>14</v>
      </c>
      <c r="C9" s="2" t="s">
        <v>125</v>
      </c>
      <c r="D9" s="3" t="s">
        <v>142</v>
      </c>
      <c r="G9" s="9">
        <f>G7*G8</f>
        <v>0</v>
      </c>
      <c r="H9" s="9">
        <f>H7*H8</f>
        <v>0</v>
      </c>
      <c r="I9" s="9">
        <f t="shared" ref="I9:BS9" si="0">I7*I8</f>
        <v>0</v>
      </c>
      <c r="J9" s="9">
        <f t="shared" si="0"/>
        <v>0</v>
      </c>
      <c r="K9" s="9">
        <f t="shared" si="0"/>
        <v>0</v>
      </c>
      <c r="L9" s="9">
        <f t="shared" si="0"/>
        <v>0</v>
      </c>
      <c r="M9" s="9">
        <f t="shared" si="0"/>
        <v>0</v>
      </c>
      <c r="N9" s="9">
        <f t="shared" si="0"/>
        <v>0</v>
      </c>
      <c r="O9" s="9">
        <f t="shared" si="0"/>
        <v>0</v>
      </c>
      <c r="P9" s="9">
        <f t="shared" si="0"/>
        <v>0</v>
      </c>
      <c r="Q9" s="9">
        <f t="shared" si="0"/>
        <v>0</v>
      </c>
      <c r="R9" s="9">
        <f t="shared" si="0"/>
        <v>0</v>
      </c>
      <c r="S9" s="9">
        <f t="shared" si="0"/>
        <v>0</v>
      </c>
      <c r="T9" s="9">
        <f t="shared" si="0"/>
        <v>0</v>
      </c>
      <c r="U9" s="9">
        <f t="shared" si="0"/>
        <v>0</v>
      </c>
      <c r="V9" s="9">
        <f t="shared" si="0"/>
        <v>0</v>
      </c>
      <c r="W9" s="9">
        <f t="shared" si="0"/>
        <v>0</v>
      </c>
      <c r="X9" s="9">
        <f t="shared" si="0"/>
        <v>0</v>
      </c>
      <c r="Y9" s="9">
        <f t="shared" si="0"/>
        <v>0</v>
      </c>
      <c r="Z9" s="9">
        <f t="shared" si="0"/>
        <v>0</v>
      </c>
      <c r="AA9" s="9">
        <f t="shared" si="0"/>
        <v>0</v>
      </c>
      <c r="AB9" s="9">
        <f t="shared" si="0"/>
        <v>0</v>
      </c>
      <c r="AC9" s="9">
        <f t="shared" si="0"/>
        <v>0</v>
      </c>
      <c r="AD9" s="9">
        <f t="shared" si="0"/>
        <v>0</v>
      </c>
      <c r="AE9" s="9">
        <f t="shared" si="0"/>
        <v>0</v>
      </c>
      <c r="AF9" s="9">
        <f t="shared" si="0"/>
        <v>0</v>
      </c>
      <c r="AG9" s="9">
        <f t="shared" si="0"/>
        <v>0</v>
      </c>
      <c r="AH9" s="9">
        <f t="shared" si="0"/>
        <v>0</v>
      </c>
      <c r="AI9" s="9">
        <f t="shared" si="0"/>
        <v>0</v>
      </c>
      <c r="AJ9" s="9">
        <f t="shared" si="0"/>
        <v>0</v>
      </c>
      <c r="AK9" s="9">
        <f t="shared" si="0"/>
        <v>126000.96963790343</v>
      </c>
      <c r="AL9" s="9">
        <f t="shared" si="0"/>
        <v>128023.01086522633</v>
      </c>
      <c r="AM9" s="9">
        <f t="shared" si="0"/>
        <v>128663.61556641727</v>
      </c>
      <c r="AN9" s="9">
        <f t="shared" si="0"/>
        <v>153142.92020204733</v>
      </c>
      <c r="AO9" s="9">
        <f t="shared" si="0"/>
        <v>153898.79459099355</v>
      </c>
      <c r="AP9" s="9">
        <f t="shared" si="0"/>
        <v>156366.4026975061</v>
      </c>
      <c r="AQ9" s="9">
        <f t="shared" si="0"/>
        <v>157146.68965011585</v>
      </c>
      <c r="AR9" s="9">
        <f t="shared" si="0"/>
        <v>158811.74879487927</v>
      </c>
      <c r="AS9" s="9">
        <f t="shared" si="0"/>
        <v>161371.06432655978</v>
      </c>
      <c r="AT9" s="9">
        <f t="shared" si="0"/>
        <v>110495.26685845968</v>
      </c>
      <c r="AU9" s="9">
        <f t="shared" si="0"/>
        <v>164781.14925403168</v>
      </c>
      <c r="AV9" s="9">
        <f t="shared" si="0"/>
        <v>166635.61662967826</v>
      </c>
      <c r="AW9" s="9">
        <f t="shared" si="0"/>
        <v>169321.01695432502</v>
      </c>
      <c r="AX9" s="9">
        <f t="shared" si="0"/>
        <v>172038.25062258798</v>
      </c>
      <c r="AY9" s="9">
        <f t="shared" si="0"/>
        <v>172899.0998667095</v>
      </c>
      <c r="AZ9" s="9">
        <f t="shared" si="0"/>
        <v>170645.55546456884</v>
      </c>
      <c r="BA9" s="9">
        <f t="shared" si="0"/>
        <v>173395.57757456272</v>
      </c>
      <c r="BB9" s="9">
        <f t="shared" si="0"/>
        <v>118728.78632941291</v>
      </c>
      <c r="BC9" s="9">
        <f t="shared" si="0"/>
        <v>177059.76388977925</v>
      </c>
      <c r="BD9" s="9">
        <f t="shared" si="0"/>
        <v>176069.03803415288</v>
      </c>
      <c r="BE9" s="9">
        <f t="shared" si="0"/>
        <v>176938.06989250338</v>
      </c>
      <c r="BF9" s="9">
        <f t="shared" si="0"/>
        <v>179775.08896583522</v>
      </c>
      <c r="BG9" s="9">
        <f t="shared" si="0"/>
        <v>180672.18804789096</v>
      </c>
      <c r="BH9" s="9">
        <f t="shared" si="0"/>
        <v>178658.44873403999</v>
      </c>
      <c r="BI9" s="9">
        <f t="shared" si="0"/>
        <v>181537.60185829372</v>
      </c>
      <c r="BJ9" s="9">
        <f t="shared" si="0"/>
        <v>124303.85736060046</v>
      </c>
      <c r="BK9" s="9">
        <f t="shared" si="0"/>
        <v>185373.84500665395</v>
      </c>
      <c r="BL9" s="9">
        <f t="shared" si="0"/>
        <v>182810.78536339285</v>
      </c>
      <c r="BM9" s="9">
        <f t="shared" si="0"/>
        <v>185756.85507101592</v>
      </c>
      <c r="BN9" s="9">
        <f t="shared" si="0"/>
        <v>188737.84815615529</v>
      </c>
      <c r="BO9" s="9">
        <f t="shared" si="0"/>
        <v>189682.25925853729</v>
      </c>
      <c r="BP9" s="9">
        <f t="shared" si="0"/>
        <v>187063.65958850383</v>
      </c>
      <c r="BQ9" s="9">
        <f t="shared" si="0"/>
        <v>190078.26608349435</v>
      </c>
      <c r="BR9" s="9">
        <f t="shared" si="0"/>
        <v>130151.88827401328</v>
      </c>
      <c r="BS9" s="9">
        <f t="shared" si="0"/>
        <v>194094.99010348113</v>
      </c>
      <c r="BT9" s="9">
        <f t="shared" ref="BT9:DG9" si="1">BT7*BT8</f>
        <v>192715.63054690801</v>
      </c>
      <c r="BU9" s="9">
        <f t="shared" si="1"/>
        <v>193666.82573952831</v>
      </c>
      <c r="BV9" s="9">
        <f t="shared" si="1"/>
        <v>196772.073122573</v>
      </c>
      <c r="BW9" s="9">
        <f t="shared" si="1"/>
        <v>197753.98917772798</v>
      </c>
      <c r="BX9" s="9">
        <f t="shared" si="1"/>
        <v>195249.5700209559</v>
      </c>
      <c r="BY9" s="9">
        <f t="shared" si="1"/>
        <v>198396.09577173006</v>
      </c>
      <c r="BZ9" s="9">
        <f t="shared" si="1"/>
        <v>135847.33816721666</v>
      </c>
      <c r="CA9" s="9">
        <f t="shared" si="1"/>
        <v>202588.59173551295</v>
      </c>
      <c r="CB9" s="9">
        <f t="shared" si="1"/>
        <v>199477.52225832248</v>
      </c>
      <c r="CC9" s="9">
        <f t="shared" si="1"/>
        <v>202692.18316855689</v>
      </c>
      <c r="CD9" s="9">
        <f t="shared" si="1"/>
        <v>205944.95139725175</v>
      </c>
      <c r="CE9" s="9">
        <f t="shared" si="1"/>
        <v>206975.46382747806</v>
      </c>
      <c r="CF9" s="9">
        <f t="shared" si="1"/>
        <v>203798.13985744389</v>
      </c>
      <c r="CG9" s="9">
        <f t="shared" si="1"/>
        <v>207082.42926690326</v>
      </c>
      <c r="CH9" s="9">
        <f t="shared" si="1"/>
        <v>141795.11289111906</v>
      </c>
      <c r="CI9" s="9">
        <f t="shared" si="1"/>
        <v>211458.48437773954</v>
      </c>
      <c r="CJ9" s="9">
        <f t="shared" si="1"/>
        <v>209960.31116168908</v>
      </c>
      <c r="CK9" s="9">
        <f t="shared" si="1"/>
        <v>210996.62169888476</v>
      </c>
      <c r="CL9" s="9">
        <f t="shared" si="1"/>
        <v>214379.73444862815</v>
      </c>
      <c r="CM9" s="9">
        <f t="shared" si="1"/>
        <v>215449.51482861079</v>
      </c>
      <c r="CN9" s="9">
        <f t="shared" si="1"/>
        <v>212377.74918599447</v>
      </c>
      <c r="CO9" s="9">
        <f t="shared" si="1"/>
        <v>215800.30246810141</v>
      </c>
      <c r="CP9" s="9">
        <f t="shared" si="1"/>
        <v>147764.48373108113</v>
      </c>
      <c r="CQ9" s="9">
        <f t="shared" si="1"/>
        <v>220360.58322141637</v>
      </c>
      <c r="CR9" s="9">
        <f t="shared" si="1"/>
        <v>216625.30416971442</v>
      </c>
      <c r="CS9" s="9">
        <f t="shared" si="1"/>
        <v>220116.30851746345</v>
      </c>
      <c r="CT9" s="9">
        <f t="shared" si="1"/>
        <v>223648.69602136532</v>
      </c>
      <c r="CU9" s="9">
        <f t="shared" si="1"/>
        <v>224767.79488584466</v>
      </c>
      <c r="CV9" s="9">
        <f t="shared" si="1"/>
        <v>220957.81025310868</v>
      </c>
      <c r="CW9" s="9">
        <f t="shared" si="1"/>
        <v>224518.63468781271</v>
      </c>
      <c r="CX9" s="9">
        <f t="shared" si="1"/>
        <v>153734.16887381679</v>
      </c>
      <c r="CY9" s="9">
        <f t="shared" si="1"/>
        <v>229263.15078356158</v>
      </c>
      <c r="CZ9" s="9">
        <f t="shared" si="1"/>
        <v>227267.79312501955</v>
      </c>
      <c r="DA9" s="9">
        <f t="shared" si="1"/>
        <v>228389.52897822708</v>
      </c>
      <c r="DB9" s="9">
        <f t="shared" si="1"/>
        <v>232051.5190194553</v>
      </c>
      <c r="DC9" s="9">
        <f t="shared" si="1"/>
        <v>233209.48370688516</v>
      </c>
      <c r="DD9" s="9">
        <f t="shared" si="1"/>
        <v>229884.50578733426</v>
      </c>
      <c r="DE9" s="9">
        <f t="shared" si="1"/>
        <v>233589.18752920037</v>
      </c>
      <c r="DF9" s="9">
        <f t="shared" si="1"/>
        <v>159945.029296319</v>
      </c>
      <c r="DG9" s="9">
        <f t="shared" si="1"/>
        <v>238525.38207521747</v>
      </c>
    </row>
    <row r="10" spans="2:112" ht="18" customHeight="1">
      <c r="B10" s="3" t="s">
        <v>15</v>
      </c>
      <c r="C10" s="4" t="s">
        <v>127</v>
      </c>
      <c r="D10" s="13" t="s">
        <v>141</v>
      </c>
      <c r="G10" s="6">
        <f>'[1]Sales&amp;OpEx'!G$27</f>
        <v>1031.7582611475102</v>
      </c>
      <c r="H10" s="6">
        <f>'[1]Sales&amp;OpEx'!H$27</f>
        <v>1031.7582611475102</v>
      </c>
      <c r="I10" s="6">
        <f>'[1]Sales&amp;OpEx'!I$27</f>
        <v>1031.7582611475102</v>
      </c>
      <c r="J10" s="6">
        <f>'[1]Sales&amp;OpEx'!J$27</f>
        <v>1031.7582611475102</v>
      </c>
      <c r="K10" s="6">
        <f>'[1]Sales&amp;OpEx'!K$27</f>
        <v>1031.7582611475102</v>
      </c>
      <c r="L10" s="6">
        <f>'[1]Sales&amp;OpEx'!L$27</f>
        <v>1031.7582611475102</v>
      </c>
      <c r="M10" s="6">
        <f>'[1]Sales&amp;OpEx'!M$27</f>
        <v>1031.7582611475102</v>
      </c>
      <c r="N10" s="6">
        <f>'[1]Sales&amp;OpEx'!N$27</f>
        <v>1031.7582611475102</v>
      </c>
      <c r="O10" s="6">
        <f>'[1]Sales&amp;OpEx'!O$27</f>
        <v>1031.7582611475102</v>
      </c>
      <c r="P10" s="6">
        <f>'[1]Sales&amp;OpEx'!P$27</f>
        <v>1031.7582611475102</v>
      </c>
      <c r="Q10" s="6">
        <f>'[1]Sales&amp;OpEx'!Q$27</f>
        <v>1031.7582611475102</v>
      </c>
      <c r="R10" s="6">
        <f>'[1]Sales&amp;OpEx'!R$27</f>
        <v>1031.7582611475102</v>
      </c>
      <c r="S10" s="6">
        <f>'[1]Sales&amp;OpEx'!S$27</f>
        <v>1031.7582611475102</v>
      </c>
      <c r="T10" s="6">
        <f>'[1]Sales&amp;OpEx'!T$27</f>
        <v>1031.7582611475102</v>
      </c>
      <c r="U10" s="6">
        <f>'[1]Sales&amp;OpEx'!U$27</f>
        <v>1031.7582611475102</v>
      </c>
      <c r="V10" s="6">
        <f>'[1]Sales&amp;OpEx'!V$27</f>
        <v>1031.7582611475102</v>
      </c>
      <c r="W10" s="6">
        <f>'[1]Sales&amp;OpEx'!W$27</f>
        <v>1031.7582611475102</v>
      </c>
      <c r="X10" s="6">
        <f>'[1]Sales&amp;OpEx'!X$27</f>
        <v>1031.7582611475102</v>
      </c>
      <c r="Y10" s="6">
        <f>'[1]Sales&amp;OpEx'!Y$27</f>
        <v>1031.7582611475102</v>
      </c>
      <c r="Z10" s="6">
        <f>'[1]Sales&amp;OpEx'!Z$27</f>
        <v>1031.7582611475102</v>
      </c>
      <c r="AA10" s="6">
        <f>'[1]Sales&amp;OpEx'!AA$27</f>
        <v>1031.7582611475102</v>
      </c>
      <c r="AB10" s="6">
        <f>'[1]Sales&amp;OpEx'!AB$27</f>
        <v>1031.7582611475102</v>
      </c>
      <c r="AC10" s="6">
        <f>'[1]Sales&amp;OpEx'!AC$27</f>
        <v>1031.7582611475102</v>
      </c>
      <c r="AD10" s="6">
        <f>'[1]Sales&amp;OpEx'!AD$27</f>
        <v>1031.7582611475102</v>
      </c>
      <c r="AE10" s="6">
        <f>'[1]Sales&amp;OpEx'!AE$27</f>
        <v>1031.7582611475102</v>
      </c>
      <c r="AF10" s="6">
        <f>'[1]Sales&amp;OpEx'!AF$27</f>
        <v>1031.7582611475102</v>
      </c>
      <c r="AG10" s="6">
        <f>'[1]Sales&amp;OpEx'!AG$27</f>
        <v>1031.7582611475102</v>
      </c>
      <c r="AH10" s="6">
        <f>'[1]Sales&amp;OpEx'!AH$27</f>
        <v>1031.7582611475102</v>
      </c>
      <c r="AI10" s="6">
        <f>'[1]Sales&amp;OpEx'!AI$27</f>
        <v>1031.7582611475102</v>
      </c>
      <c r="AJ10" s="6">
        <f>'[1]Sales&amp;OpEx'!AJ$27</f>
        <v>1031.7582611475102</v>
      </c>
      <c r="AK10" s="6">
        <f>'[1]Sales&amp;OpEx'!AK$27</f>
        <v>1031.7582611475102</v>
      </c>
      <c r="AL10" s="6">
        <f>'[1]Sales&amp;OpEx'!AL$27</f>
        <v>1031.7582611475102</v>
      </c>
      <c r="AM10" s="6">
        <f>'[1]Sales&amp;OpEx'!AM$27</f>
        <v>1031.7582611475102</v>
      </c>
      <c r="AN10" s="6">
        <f>'[1]Sales&amp;OpEx'!AN$27</f>
        <v>1031.7582611475102</v>
      </c>
      <c r="AO10" s="6">
        <f>'[1]Sales&amp;OpEx'!AO$27</f>
        <v>1031.7582611475102</v>
      </c>
      <c r="AP10" s="6">
        <f>'[1]Sales&amp;OpEx'!AP$27</f>
        <v>1031.7582611475102</v>
      </c>
      <c r="AQ10" s="6">
        <f>'[1]Sales&amp;OpEx'!AQ$27</f>
        <v>1031.7582611475102</v>
      </c>
      <c r="AR10" s="6">
        <f>'[1]Sales&amp;OpEx'!AR$27</f>
        <v>1031.7582611475102</v>
      </c>
      <c r="AS10" s="6">
        <f>'[1]Sales&amp;OpEx'!AS$27</f>
        <v>1031.7582611475102</v>
      </c>
      <c r="AT10" s="6">
        <f>'[1]Sales&amp;OpEx'!AT$27</f>
        <v>1031.7582611475102</v>
      </c>
      <c r="AU10" s="6">
        <f>'[1]Sales&amp;OpEx'!AU$27</f>
        <v>1031.7582611475102</v>
      </c>
      <c r="AV10" s="6">
        <f>'[1]Sales&amp;OpEx'!AV$27</f>
        <v>1031.7582611475102</v>
      </c>
      <c r="AW10" s="6">
        <f>'[1]Sales&amp;OpEx'!AW$27</f>
        <v>1031.7582611475102</v>
      </c>
      <c r="AX10" s="6">
        <f>'[1]Sales&amp;OpEx'!AX$27</f>
        <v>1031.7582611475102</v>
      </c>
      <c r="AY10" s="6">
        <f>'[1]Sales&amp;OpEx'!AY$27</f>
        <v>1031.7582611475102</v>
      </c>
      <c r="AZ10" s="6">
        <f>'[1]Sales&amp;OpEx'!AZ$27</f>
        <v>1031.7582611475102</v>
      </c>
      <c r="BA10" s="6">
        <f>'[1]Sales&amp;OpEx'!BA$27</f>
        <v>1031.7582611475102</v>
      </c>
      <c r="BB10" s="6">
        <f>'[1]Sales&amp;OpEx'!BB$27</f>
        <v>1031.7582611475102</v>
      </c>
      <c r="BC10" s="6">
        <f>'[1]Sales&amp;OpEx'!BC$27</f>
        <v>1031.7582611475102</v>
      </c>
      <c r="BD10" s="6">
        <f>'[1]Sales&amp;OpEx'!BD$27</f>
        <v>1031.7582611475102</v>
      </c>
      <c r="BE10" s="6">
        <f>'[1]Sales&amp;OpEx'!BE$27</f>
        <v>1031.7582611475102</v>
      </c>
      <c r="BF10" s="6">
        <f>'[1]Sales&amp;OpEx'!BF$27</f>
        <v>1031.7582611475102</v>
      </c>
      <c r="BG10" s="6">
        <f>'[1]Sales&amp;OpEx'!BG$27</f>
        <v>1031.7582611475102</v>
      </c>
      <c r="BH10" s="6">
        <f>'[1]Sales&amp;OpEx'!BH$27</f>
        <v>1031.7582611475102</v>
      </c>
      <c r="BI10" s="6">
        <f>'[1]Sales&amp;OpEx'!BI$27</f>
        <v>1031.7582611475102</v>
      </c>
      <c r="BJ10" s="6">
        <f>'[1]Sales&amp;OpEx'!BJ$27</f>
        <v>1031.7582611475102</v>
      </c>
      <c r="BK10" s="6">
        <f>'[1]Sales&amp;OpEx'!BK$27</f>
        <v>1031.7582611475102</v>
      </c>
      <c r="BL10" s="6">
        <f>'[1]Sales&amp;OpEx'!BL$27</f>
        <v>1031.7582611475102</v>
      </c>
      <c r="BM10" s="6">
        <f>'[1]Sales&amp;OpEx'!BM$27</f>
        <v>1031.7582611475102</v>
      </c>
      <c r="BN10" s="6">
        <f>'[1]Sales&amp;OpEx'!BN$27</f>
        <v>1031.7582611475102</v>
      </c>
      <c r="BO10" s="6">
        <f>'[1]Sales&amp;OpEx'!BO$27</f>
        <v>1031.7582611475102</v>
      </c>
      <c r="BP10" s="6">
        <f>'[1]Sales&amp;OpEx'!BP$27</f>
        <v>1031.7582611475102</v>
      </c>
      <c r="BQ10" s="6">
        <f>'[1]Sales&amp;OpEx'!BQ$27</f>
        <v>1031.7582611475102</v>
      </c>
      <c r="BR10" s="6">
        <f>'[1]Sales&amp;OpEx'!BR$27</f>
        <v>1031.7582611475102</v>
      </c>
      <c r="BS10" s="6">
        <f>'[1]Sales&amp;OpEx'!BS$27</f>
        <v>1031.7582611475102</v>
      </c>
      <c r="BT10" s="6">
        <f>'[1]Sales&amp;OpEx'!BT$27</f>
        <v>1031.7582611475102</v>
      </c>
      <c r="BU10" s="6">
        <f>'[1]Sales&amp;OpEx'!BU$27</f>
        <v>1031.7582611475102</v>
      </c>
      <c r="BV10" s="6">
        <f>'[1]Sales&amp;OpEx'!BV$27</f>
        <v>1031.7582611475102</v>
      </c>
      <c r="BW10" s="6">
        <f>'[1]Sales&amp;OpEx'!BW$27</f>
        <v>1031.7582611475102</v>
      </c>
      <c r="BX10" s="6">
        <f>'[1]Sales&amp;OpEx'!BX$27</f>
        <v>1031.7582611475102</v>
      </c>
      <c r="BY10" s="6">
        <f>'[1]Sales&amp;OpEx'!BY$27</f>
        <v>1031.7582611475102</v>
      </c>
      <c r="BZ10" s="6">
        <f>'[1]Sales&amp;OpEx'!BZ$27</f>
        <v>1031.7582611475102</v>
      </c>
      <c r="CA10" s="6">
        <f>'[1]Sales&amp;OpEx'!CA$27</f>
        <v>1031.7582611475102</v>
      </c>
      <c r="CB10" s="6">
        <f>'[1]Sales&amp;OpEx'!CB$27</f>
        <v>1031.7582611475102</v>
      </c>
      <c r="CC10" s="6">
        <f>'[1]Sales&amp;OpEx'!CC$27</f>
        <v>1031.7582611475102</v>
      </c>
      <c r="CD10" s="6">
        <f>'[1]Sales&amp;OpEx'!CD$27</f>
        <v>1031.7582611475102</v>
      </c>
      <c r="CE10" s="6">
        <f>'[1]Sales&amp;OpEx'!CE$27</f>
        <v>1031.7582611475102</v>
      </c>
      <c r="CF10" s="6">
        <f>'[1]Sales&amp;OpEx'!CF$27</f>
        <v>1031.7582611475102</v>
      </c>
      <c r="CG10" s="6">
        <f>'[1]Sales&amp;OpEx'!CG$27</f>
        <v>1031.7582611475102</v>
      </c>
      <c r="CH10" s="6">
        <f>'[1]Sales&amp;OpEx'!CH$27</f>
        <v>1031.7582611475102</v>
      </c>
      <c r="CI10" s="6">
        <f>'[1]Sales&amp;OpEx'!CI$27</f>
        <v>1031.7582611475102</v>
      </c>
      <c r="CJ10" s="6">
        <f>'[1]Sales&amp;OpEx'!CJ$27</f>
        <v>1031.7582611475102</v>
      </c>
      <c r="CK10" s="6">
        <f>'[1]Sales&amp;OpEx'!CK$27</f>
        <v>1031.7582611475102</v>
      </c>
      <c r="CL10" s="6">
        <f>'[1]Sales&amp;OpEx'!CL$27</f>
        <v>1031.7582611475102</v>
      </c>
      <c r="CM10" s="6">
        <f>'[1]Sales&amp;OpEx'!CM$27</f>
        <v>1031.7582611475102</v>
      </c>
      <c r="CN10" s="6">
        <f>'[1]Sales&amp;OpEx'!CN$27</f>
        <v>1031.7582611475102</v>
      </c>
      <c r="CO10" s="6">
        <f>'[1]Sales&amp;OpEx'!CO$27</f>
        <v>1031.7582611475102</v>
      </c>
      <c r="CP10" s="6">
        <f>'[1]Sales&amp;OpEx'!CP$27</f>
        <v>1031.7582611475102</v>
      </c>
      <c r="CQ10" s="6">
        <f>'[1]Sales&amp;OpEx'!CQ$27</f>
        <v>1031.7582611475102</v>
      </c>
      <c r="CR10" s="6">
        <f>'[1]Sales&amp;OpEx'!CR$27</f>
        <v>1031.7582611475102</v>
      </c>
      <c r="CS10" s="6">
        <f>'[1]Sales&amp;OpEx'!CS$27</f>
        <v>1031.7582611475102</v>
      </c>
      <c r="CT10" s="6">
        <f>'[1]Sales&amp;OpEx'!CT$27</f>
        <v>1031.7582611475102</v>
      </c>
      <c r="CU10" s="6">
        <f>'[1]Sales&amp;OpEx'!CU$27</f>
        <v>1031.7582611475102</v>
      </c>
      <c r="CV10" s="6">
        <f>'[1]Sales&amp;OpEx'!CV$27</f>
        <v>1031.7582611475102</v>
      </c>
      <c r="CW10" s="6">
        <f>'[1]Sales&amp;OpEx'!CW$27</f>
        <v>1031.7582611475102</v>
      </c>
      <c r="CX10" s="6">
        <f>'[1]Sales&amp;OpEx'!CX$27</f>
        <v>1031.7582611475102</v>
      </c>
      <c r="CY10" s="6">
        <f>'[1]Sales&amp;OpEx'!CY$27</f>
        <v>1031.7582611475102</v>
      </c>
      <c r="CZ10" s="6">
        <f>'[1]Sales&amp;OpEx'!CZ$27</f>
        <v>1031.7582611475102</v>
      </c>
      <c r="DA10" s="6">
        <f>'[1]Sales&amp;OpEx'!DA$27</f>
        <v>1031.7582611475102</v>
      </c>
      <c r="DB10" s="6">
        <f>'[1]Sales&amp;OpEx'!DB$27</f>
        <v>1031.7582611475102</v>
      </c>
      <c r="DC10" s="6">
        <f>'[1]Sales&amp;OpEx'!DC$27</f>
        <v>1031.7582611475102</v>
      </c>
      <c r="DD10" s="6">
        <f>'[1]Sales&amp;OpEx'!DD$27</f>
        <v>1031.7582611475102</v>
      </c>
      <c r="DE10" s="6">
        <f>'[1]Sales&amp;OpEx'!DE$27</f>
        <v>1031.7582611475102</v>
      </c>
      <c r="DF10" s="6">
        <f>'[1]Sales&amp;OpEx'!DF$27</f>
        <v>1031.7582611475102</v>
      </c>
      <c r="DG10" s="6">
        <f>'[1]Sales&amp;OpEx'!DG$27</f>
        <v>1031.7582611475102</v>
      </c>
    </row>
    <row r="11" spans="2:112" ht="18" customHeight="1">
      <c r="B11" s="1" t="s">
        <v>16</v>
      </c>
      <c r="C11" s="2" t="s">
        <v>126</v>
      </c>
      <c r="D11" s="13" t="s">
        <v>141</v>
      </c>
      <c r="G11" s="6">
        <f>[1]Assumptions!G$85</f>
        <v>0</v>
      </c>
      <c r="H11" s="6">
        <f>[1]Assumptions!H$85</f>
        <v>0</v>
      </c>
      <c r="I11" s="6">
        <f>[1]Assumptions!I$85</f>
        <v>0</v>
      </c>
      <c r="J11" s="6">
        <f>[1]Assumptions!J$85</f>
        <v>0</v>
      </c>
      <c r="K11" s="6">
        <f>[1]Assumptions!K$85</f>
        <v>0</v>
      </c>
      <c r="L11" s="6">
        <f>[1]Assumptions!L$85</f>
        <v>0</v>
      </c>
      <c r="M11" s="6">
        <f>[1]Assumptions!M$85</f>
        <v>0</v>
      </c>
      <c r="N11" s="6">
        <f>[1]Assumptions!N$85</f>
        <v>0</v>
      </c>
      <c r="O11" s="6">
        <f>[1]Assumptions!O$85</f>
        <v>0</v>
      </c>
      <c r="P11" s="6">
        <f>[1]Assumptions!P$85</f>
        <v>0</v>
      </c>
      <c r="Q11" s="6">
        <f>[1]Assumptions!Q$85</f>
        <v>0</v>
      </c>
      <c r="R11" s="6">
        <f>[1]Assumptions!R$85</f>
        <v>0</v>
      </c>
      <c r="S11" s="6">
        <f>[1]Assumptions!S$85</f>
        <v>0</v>
      </c>
      <c r="T11" s="6">
        <f>[1]Assumptions!T$85</f>
        <v>0</v>
      </c>
      <c r="U11" s="6">
        <f>[1]Assumptions!U$85</f>
        <v>0</v>
      </c>
      <c r="V11" s="6">
        <f>[1]Assumptions!V$85</f>
        <v>0</v>
      </c>
      <c r="W11" s="6">
        <f>[1]Assumptions!W$85</f>
        <v>0</v>
      </c>
      <c r="X11" s="6">
        <f>[1]Assumptions!X$85</f>
        <v>0</v>
      </c>
      <c r="Y11" s="6">
        <f>[1]Assumptions!Y$85</f>
        <v>0</v>
      </c>
      <c r="Z11" s="6">
        <f>[1]Assumptions!Z$85</f>
        <v>7782.48</v>
      </c>
      <c r="AA11" s="6">
        <f>[1]Assumptions!AA$85</f>
        <v>7782.48</v>
      </c>
      <c r="AB11" s="6">
        <f>[1]Assumptions!AB$85</f>
        <v>7782.48</v>
      </c>
      <c r="AC11" s="6">
        <f>[1]Assumptions!AC$85</f>
        <v>7782.48</v>
      </c>
      <c r="AD11" s="6">
        <f>[1]Assumptions!AD$85</f>
        <v>8584.0754399999987</v>
      </c>
      <c r="AE11" s="6">
        <f>[1]Assumptions!AE$85</f>
        <v>8584.0754399999987</v>
      </c>
      <c r="AF11" s="6">
        <f>[1]Assumptions!AF$85</f>
        <v>8584.0754399999987</v>
      </c>
      <c r="AG11" s="6">
        <f>[1]Assumptions!AG$85</f>
        <v>8584.0754399999987</v>
      </c>
      <c r="AH11" s="6">
        <f>[1]Assumptions!AH$85</f>
        <v>9493.9874366399999</v>
      </c>
      <c r="AI11" s="6">
        <f>[1]Assumptions!AI$85</f>
        <v>9493.9874366399999</v>
      </c>
      <c r="AJ11" s="6">
        <f>[1]Assumptions!AJ$85</f>
        <v>9493.9874366399999</v>
      </c>
      <c r="AK11" s="6">
        <f>[1]Assumptions!AK$85</f>
        <v>9493.9874366399999</v>
      </c>
      <c r="AL11" s="6">
        <f>[1]Assumptions!AL$85</f>
        <v>10348.446305937601</v>
      </c>
      <c r="AM11" s="6">
        <f>[1]Assumptions!AM$85</f>
        <v>10348.446305937601</v>
      </c>
      <c r="AN11" s="6">
        <f>[1]Assumptions!AN$85</f>
        <v>10348.446305937601</v>
      </c>
      <c r="AO11" s="6">
        <f>[1]Assumptions!AO$85</f>
        <v>10348.446305937601</v>
      </c>
      <c r="AP11" s="6">
        <f>[1]Assumptions!AP$85</f>
        <v>11072.837547353234</v>
      </c>
      <c r="AQ11" s="6">
        <f>[1]Assumptions!AQ$85</f>
        <v>11072.837547353234</v>
      </c>
      <c r="AR11" s="6">
        <f>[1]Assumptions!AR$85</f>
        <v>11072.837547353234</v>
      </c>
      <c r="AS11" s="6">
        <f>[1]Assumptions!AS$85</f>
        <v>11072.837547353234</v>
      </c>
      <c r="AT11" s="6">
        <f>[1]Assumptions!AT$85</f>
        <v>11515.751049247365</v>
      </c>
      <c r="AU11" s="6">
        <f>[1]Assumptions!AU$85</f>
        <v>11515.751049247365</v>
      </c>
      <c r="AV11" s="6">
        <f>[1]Assumptions!AV$85</f>
        <v>11515.751049247365</v>
      </c>
      <c r="AW11" s="6">
        <f>[1]Assumptions!AW$85</f>
        <v>11515.751049247365</v>
      </c>
      <c r="AX11" s="6">
        <f>[1]Assumptions!AX$85</f>
        <v>11976.381091217259</v>
      </c>
      <c r="AY11" s="6">
        <f>[1]Assumptions!AY$85</f>
        <v>11976.381091217259</v>
      </c>
      <c r="AZ11" s="6">
        <f>[1]Assumptions!AZ$85</f>
        <v>11976.381091217259</v>
      </c>
      <c r="BA11" s="6">
        <f>[1]Assumptions!BA$85</f>
        <v>11976.381091217259</v>
      </c>
      <c r="BB11" s="6">
        <f>[1]Assumptions!BB$85</f>
        <v>12455.43633486595</v>
      </c>
      <c r="BC11" s="6">
        <f>[1]Assumptions!BC$85</f>
        <v>12455.43633486595</v>
      </c>
      <c r="BD11" s="6">
        <f>[1]Assumptions!BD$85</f>
        <v>12455.43633486595</v>
      </c>
      <c r="BE11" s="6">
        <f>[1]Assumptions!BE$85</f>
        <v>12455.43633486595</v>
      </c>
      <c r="BF11" s="6">
        <f>[1]Assumptions!BF$85</f>
        <v>12953.653788260588</v>
      </c>
      <c r="BG11" s="6">
        <f>[1]Assumptions!BG$85</f>
        <v>12953.653788260588</v>
      </c>
      <c r="BH11" s="6">
        <f>[1]Assumptions!BH$85</f>
        <v>12953.653788260588</v>
      </c>
      <c r="BI11" s="6">
        <f>[1]Assumptions!BI$85</f>
        <v>12953.653788260588</v>
      </c>
      <c r="BJ11" s="6">
        <f>[1]Assumptions!BJ$85</f>
        <v>13471.799939791012</v>
      </c>
      <c r="BK11" s="6">
        <f>[1]Assumptions!BK$85</f>
        <v>13471.799939791012</v>
      </c>
      <c r="BL11" s="6">
        <f>[1]Assumptions!BL$85</f>
        <v>13471.799939791012</v>
      </c>
      <c r="BM11" s="6">
        <f>[1]Assumptions!BM$85</f>
        <v>13471.799939791012</v>
      </c>
      <c r="BN11" s="6">
        <f>[1]Assumptions!BN$85</f>
        <v>14010.671937382653</v>
      </c>
      <c r="BO11" s="6">
        <f>[1]Assumptions!BO$85</f>
        <v>14010.671937382653</v>
      </c>
      <c r="BP11" s="6">
        <f>[1]Assumptions!BP$85</f>
        <v>14010.671937382653</v>
      </c>
      <c r="BQ11" s="6">
        <f>[1]Assumptions!BQ$85</f>
        <v>14010.671937382653</v>
      </c>
      <c r="BR11" s="6">
        <f>[1]Assumptions!BR$85</f>
        <v>14571.09881487796</v>
      </c>
      <c r="BS11" s="6">
        <f>[1]Assumptions!BS$85</f>
        <v>14571.09881487796</v>
      </c>
      <c r="BT11" s="6">
        <f>[1]Assumptions!BT$85</f>
        <v>14571.09881487796</v>
      </c>
      <c r="BU11" s="6">
        <f>[1]Assumptions!BU$85</f>
        <v>14571.09881487796</v>
      </c>
      <c r="BV11" s="6">
        <f>[1]Assumptions!BV$85</f>
        <v>15153.942767473078</v>
      </c>
      <c r="BW11" s="6">
        <f>[1]Assumptions!BW$85</f>
        <v>15153.942767473078</v>
      </c>
      <c r="BX11" s="6">
        <f>[1]Assumptions!BX$85</f>
        <v>15153.942767473078</v>
      </c>
      <c r="BY11" s="6">
        <f>[1]Assumptions!BY$85</f>
        <v>15153.942767473078</v>
      </c>
      <c r="BZ11" s="6">
        <f>[1]Assumptions!BZ$85</f>
        <v>15760.100478172002</v>
      </c>
      <c r="CA11" s="6">
        <f>[1]Assumptions!CA$85</f>
        <v>15760.100478172002</v>
      </c>
      <c r="CB11" s="6">
        <f>[1]Assumptions!CB$85</f>
        <v>15760.100478172002</v>
      </c>
      <c r="CC11" s="6">
        <f>[1]Assumptions!CC$85</f>
        <v>15760.100478172002</v>
      </c>
      <c r="CD11" s="6">
        <f>[1]Assumptions!CD$85</f>
        <v>16390.504497298884</v>
      </c>
      <c r="CE11" s="6">
        <f>[1]Assumptions!CE$85</f>
        <v>16390.504497298884</v>
      </c>
      <c r="CF11" s="6">
        <f>[1]Assumptions!CF$85</f>
        <v>16390.504497298884</v>
      </c>
      <c r="CG11" s="6">
        <f>[1]Assumptions!CG$85</f>
        <v>16390.504497298884</v>
      </c>
      <c r="CH11" s="6">
        <f>[1]Assumptions!CH$85</f>
        <v>17046.124677190841</v>
      </c>
      <c r="CI11" s="6">
        <f>[1]Assumptions!CI$85</f>
        <v>17046.124677190841</v>
      </c>
      <c r="CJ11" s="6">
        <f>[1]Assumptions!CJ$85</f>
        <v>17046.124677190841</v>
      </c>
      <c r="CK11" s="6">
        <f>[1]Assumptions!CK$85</f>
        <v>17046.124677190841</v>
      </c>
      <c r="CL11" s="6">
        <f>[1]Assumptions!CL$85</f>
        <v>17727.969664278477</v>
      </c>
      <c r="CM11" s="6">
        <f>[1]Assumptions!CM$85</f>
        <v>17727.969664278477</v>
      </c>
      <c r="CN11" s="6">
        <f>[1]Assumptions!CN$85</f>
        <v>17727.969664278477</v>
      </c>
      <c r="CO11" s="6">
        <f>[1]Assumptions!CO$85</f>
        <v>17727.969664278477</v>
      </c>
      <c r="CP11" s="6">
        <f>[1]Assumptions!CP$85</f>
        <v>18437.088450849616</v>
      </c>
      <c r="CQ11" s="6">
        <f>[1]Assumptions!CQ$85</f>
        <v>18437.088450849616</v>
      </c>
      <c r="CR11" s="6">
        <f>[1]Assumptions!CR$85</f>
        <v>18437.088450849616</v>
      </c>
      <c r="CS11" s="6">
        <f>[1]Assumptions!CS$85</f>
        <v>18437.088450849616</v>
      </c>
      <c r="CT11" s="6">
        <f>[1]Assumptions!CT$85</f>
        <v>19174.571988883603</v>
      </c>
      <c r="CU11" s="6">
        <f>[1]Assumptions!CU$85</f>
        <v>19174.571988883603</v>
      </c>
      <c r="CV11" s="6">
        <f>[1]Assumptions!CV$85</f>
        <v>19174.571988883603</v>
      </c>
      <c r="CW11" s="6">
        <f>[1]Assumptions!CW$85</f>
        <v>19174.571988883603</v>
      </c>
      <c r="CX11" s="6">
        <f>[1]Assumptions!CX$85</f>
        <v>19941.554868438947</v>
      </c>
      <c r="CY11" s="6">
        <f>[1]Assumptions!CY$85</f>
        <v>19941.554868438947</v>
      </c>
      <c r="CZ11" s="6">
        <f>[1]Assumptions!CZ$85</f>
        <v>19941.554868438947</v>
      </c>
      <c r="DA11" s="6">
        <f>[1]Assumptions!DA$85</f>
        <v>19941.554868438947</v>
      </c>
      <c r="DB11" s="6">
        <f>[1]Assumptions!DB$85</f>
        <v>20739.217063176504</v>
      </c>
      <c r="DC11" s="6">
        <f>[1]Assumptions!DC$85</f>
        <v>20739.217063176504</v>
      </c>
      <c r="DD11" s="6">
        <f>[1]Assumptions!DD$85</f>
        <v>20739.217063176504</v>
      </c>
      <c r="DE11" s="6">
        <f>[1]Assumptions!DE$85</f>
        <v>20739.217063176504</v>
      </c>
      <c r="DF11" s="6">
        <f>[1]Assumptions!DF$85</f>
        <v>21568.785745703564</v>
      </c>
      <c r="DG11" s="6">
        <f>[1]Assumptions!DG$85</f>
        <v>21568.785745703564</v>
      </c>
    </row>
    <row r="12" spans="2:112" ht="18" customHeight="1">
      <c r="B12" s="1" t="s">
        <v>123</v>
      </c>
      <c r="C12" s="2" t="s">
        <v>125</v>
      </c>
      <c r="D12" s="3" t="s">
        <v>143</v>
      </c>
      <c r="G12" s="6">
        <f>-G10*G7*G11/G5/1000</f>
        <v>0</v>
      </c>
      <c r="H12" s="6">
        <f t="shared" ref="H12:BS12" si="2">-H10*H7*H11/H5/1000</f>
        <v>0</v>
      </c>
      <c r="I12" s="6">
        <f t="shared" si="2"/>
        <v>0</v>
      </c>
      <c r="J12" s="6">
        <f t="shared" si="2"/>
        <v>0</v>
      </c>
      <c r="K12" s="6">
        <f t="shared" si="2"/>
        <v>0</v>
      </c>
      <c r="L12" s="6">
        <f t="shared" si="2"/>
        <v>0</v>
      </c>
      <c r="M12" s="6">
        <f t="shared" si="2"/>
        <v>0</v>
      </c>
      <c r="N12" s="6">
        <f t="shared" si="2"/>
        <v>0</v>
      </c>
      <c r="O12" s="6">
        <f t="shared" si="2"/>
        <v>0</v>
      </c>
      <c r="P12" s="6">
        <f t="shared" si="2"/>
        <v>0</v>
      </c>
      <c r="Q12" s="6">
        <f t="shared" si="2"/>
        <v>0</v>
      </c>
      <c r="R12" s="6">
        <f t="shared" si="2"/>
        <v>0</v>
      </c>
      <c r="S12" s="6">
        <f t="shared" si="2"/>
        <v>0</v>
      </c>
      <c r="T12" s="6">
        <f t="shared" si="2"/>
        <v>0</v>
      </c>
      <c r="U12" s="6">
        <f t="shared" si="2"/>
        <v>0</v>
      </c>
      <c r="V12" s="6">
        <f t="shared" si="2"/>
        <v>0</v>
      </c>
      <c r="W12" s="6">
        <f t="shared" si="2"/>
        <v>0</v>
      </c>
      <c r="X12" s="6">
        <f t="shared" si="2"/>
        <v>0</v>
      </c>
      <c r="Y12" s="6">
        <f t="shared" si="2"/>
        <v>0</v>
      </c>
      <c r="Z12" s="6">
        <f t="shared" si="2"/>
        <v>0</v>
      </c>
      <c r="AA12" s="6">
        <f t="shared" si="2"/>
        <v>0</v>
      </c>
      <c r="AB12" s="6">
        <f t="shared" si="2"/>
        <v>0</v>
      </c>
      <c r="AC12" s="6">
        <f t="shared" si="2"/>
        <v>0</v>
      </c>
      <c r="AD12" s="6">
        <f t="shared" si="2"/>
        <v>0</v>
      </c>
      <c r="AE12" s="6">
        <f t="shared" si="2"/>
        <v>0</v>
      </c>
      <c r="AF12" s="6">
        <f t="shared" si="2"/>
        <v>0</v>
      </c>
      <c r="AG12" s="6">
        <f t="shared" si="2"/>
        <v>0</v>
      </c>
      <c r="AH12" s="6">
        <f t="shared" si="2"/>
        <v>0</v>
      </c>
      <c r="AI12" s="6">
        <f t="shared" si="2"/>
        <v>0</v>
      </c>
      <c r="AJ12" s="6">
        <f t="shared" si="2"/>
        <v>0</v>
      </c>
      <c r="AK12" s="6">
        <f t="shared" si="2"/>
        <v>-41384.504282769856</v>
      </c>
      <c r="AL12" s="6">
        <f t="shared" si="2"/>
        <v>-45604.814170067715</v>
      </c>
      <c r="AM12" s="6">
        <f t="shared" si="2"/>
        <v>-45604.814170067715</v>
      </c>
      <c r="AN12" s="6">
        <f t="shared" si="2"/>
        <v>-43464.599743670929</v>
      </c>
      <c r="AO12" s="6">
        <f t="shared" si="2"/>
        <v>-43464.599743670929</v>
      </c>
      <c r="AP12" s="6">
        <f t="shared" si="2"/>
        <v>-47018.188997439196</v>
      </c>
      <c r="AQ12" s="6">
        <f t="shared" si="2"/>
        <v>-47018.188997439196</v>
      </c>
      <c r="AR12" s="6">
        <f t="shared" si="2"/>
        <v>-44562.387479769917</v>
      </c>
      <c r="AS12" s="6">
        <f t="shared" si="2"/>
        <v>-45057.52511843403</v>
      </c>
      <c r="AT12" s="6">
        <f t="shared" si="2"/>
        <v>-31926.474941061831</v>
      </c>
      <c r="AU12" s="6">
        <f t="shared" si="2"/>
        <v>-47374.769267382064</v>
      </c>
      <c r="AV12" s="6">
        <f t="shared" si="2"/>
        <v>-44777.664713971695</v>
      </c>
      <c r="AW12" s="6">
        <f t="shared" si="2"/>
        <v>-45275.194321904724</v>
      </c>
      <c r="AX12" s="6">
        <f t="shared" si="2"/>
        <v>-47603.632887031257</v>
      </c>
      <c r="AY12" s="6">
        <f t="shared" si="2"/>
        <v>-47603.632887031257</v>
      </c>
      <c r="AZ12" s="6">
        <f t="shared" si="2"/>
        <v>-45658.434679018203</v>
      </c>
      <c r="BA12" s="6">
        <f t="shared" si="2"/>
        <v>-46165.750619896178</v>
      </c>
      <c r="BB12" s="6">
        <f t="shared" si="2"/>
        <v>-32711.731867812159</v>
      </c>
      <c r="BC12" s="6">
        <f t="shared" si="2"/>
        <v>-48539.989223205135</v>
      </c>
      <c r="BD12" s="6">
        <f t="shared" si="2"/>
        <v>-46945.207021480965</v>
      </c>
      <c r="BE12" s="6">
        <f t="shared" si="2"/>
        <v>-46945.207021480965</v>
      </c>
      <c r="BF12" s="6">
        <f t="shared" si="2"/>
        <v>-49359.531954014288</v>
      </c>
      <c r="BG12" s="6">
        <f t="shared" si="2"/>
        <v>-49359.531954014288</v>
      </c>
      <c r="BH12" s="6">
        <f t="shared" si="2"/>
        <v>-47472.289221945757</v>
      </c>
      <c r="BI12" s="6">
        <f t="shared" si="2"/>
        <v>-47999.759102189601</v>
      </c>
      <c r="BJ12" s="6">
        <f t="shared" si="2"/>
        <v>-34011.257878122924</v>
      </c>
      <c r="BK12" s="6">
        <f t="shared" si="2"/>
        <v>-50468.318141730786</v>
      </c>
      <c r="BL12" s="6">
        <f t="shared" si="2"/>
        <v>-48406.062047879765</v>
      </c>
      <c r="BM12" s="6">
        <f t="shared" si="2"/>
        <v>-48943.907181745097</v>
      </c>
      <c r="BN12" s="6">
        <f t="shared" si="2"/>
        <v>-51461.022408234843</v>
      </c>
      <c r="BO12" s="6">
        <f t="shared" si="2"/>
        <v>-51461.022408234843</v>
      </c>
      <c r="BP12" s="6">
        <f t="shared" si="2"/>
        <v>-49358.202045583734</v>
      </c>
      <c r="BQ12" s="6">
        <f t="shared" si="2"/>
        <v>-49906.626512756884</v>
      </c>
      <c r="BR12" s="6">
        <f t="shared" si="2"/>
        <v>-35362.409643324892</v>
      </c>
      <c r="BS12" s="6">
        <f t="shared" si="2"/>
        <v>-52473.253019127245</v>
      </c>
      <c r="BT12" s="6">
        <f t="shared" ref="BT12:DG12" si="3">-BT10*BT7*BT11/BT5/1000</f>
        <v>-50749.243366041723</v>
      </c>
      <c r="BU12" s="6">
        <f t="shared" si="3"/>
        <v>-50749.243366041723</v>
      </c>
      <c r="BV12" s="6">
        <f t="shared" si="3"/>
        <v>-53359.204453438164</v>
      </c>
      <c r="BW12" s="6">
        <f t="shared" si="3"/>
        <v>-53359.204453438164</v>
      </c>
      <c r="BX12" s="6">
        <f t="shared" si="3"/>
        <v>-51319.035780697741</v>
      </c>
      <c r="BY12" s="6">
        <f t="shared" si="3"/>
        <v>-51889.247289372172</v>
      </c>
      <c r="BZ12" s="6">
        <f t="shared" si="3"/>
        <v>-36767.238079326569</v>
      </c>
      <c r="CA12" s="6">
        <f t="shared" si="3"/>
        <v>-54557.837149968451</v>
      </c>
      <c r="CB12" s="6">
        <f t="shared" si="3"/>
        <v>-52328.473535871301</v>
      </c>
      <c r="CC12" s="6">
        <f t="shared" si="3"/>
        <v>-52909.90101960321</v>
      </c>
      <c r="CD12" s="6">
        <f t="shared" si="3"/>
        <v>-55630.981643468513</v>
      </c>
      <c r="CE12" s="6">
        <f t="shared" si="3"/>
        <v>-55630.981643468513</v>
      </c>
      <c r="CF12" s="6">
        <f t="shared" si="3"/>
        <v>-53357.766780651553</v>
      </c>
      <c r="CG12" s="6">
        <f t="shared" si="3"/>
        <v>-53950.630855992138</v>
      </c>
      <c r="CH12" s="6">
        <f t="shared" si="3"/>
        <v>-38227.875577960156</v>
      </c>
      <c r="CI12" s="6">
        <f t="shared" si="3"/>
        <v>-56725.234728586016</v>
      </c>
      <c r="CJ12" s="6">
        <f t="shared" si="3"/>
        <v>-54861.526141470655</v>
      </c>
      <c r="CK12" s="6">
        <f t="shared" si="3"/>
        <v>-54861.526141470655</v>
      </c>
      <c r="CL12" s="6">
        <f t="shared" si="3"/>
        <v>-57682.976057317734</v>
      </c>
      <c r="CM12" s="6">
        <f t="shared" si="3"/>
        <v>-57682.976057317734</v>
      </c>
      <c r="CN12" s="6">
        <f t="shared" si="3"/>
        <v>-55477.489639219682</v>
      </c>
      <c r="CO12" s="6">
        <f t="shared" si="3"/>
        <v>-56093.906190766567</v>
      </c>
      <c r="CP12" s="6">
        <f t="shared" si="3"/>
        <v>-39746.539243743173</v>
      </c>
      <c r="CQ12" s="6">
        <f t="shared" si="3"/>
        <v>-58978.735652005984</v>
      </c>
      <c r="CR12" s="6">
        <f t="shared" si="3"/>
        <v>-56568.723559579899</v>
      </c>
      <c r="CS12" s="6">
        <f t="shared" si="3"/>
        <v>-57197.264932464132</v>
      </c>
      <c r="CT12" s="6">
        <f t="shared" si="3"/>
        <v>-60138.838557562281</v>
      </c>
      <c r="CU12" s="6">
        <f t="shared" si="3"/>
        <v>-60138.838557562281</v>
      </c>
      <c r="CV12" s="6">
        <f t="shared" si="3"/>
        <v>-57681.421887877274</v>
      </c>
      <c r="CW12" s="6">
        <f t="shared" si="3"/>
        <v>-58322.326575520368</v>
      </c>
      <c r="CX12" s="6">
        <f t="shared" si="3"/>
        <v>-41325.53425922586</v>
      </c>
      <c r="CY12" s="6">
        <f t="shared" si="3"/>
        <v>-61321.76051368998</v>
      </c>
      <c r="CZ12" s="6">
        <f t="shared" si="3"/>
        <v>-59307.032990864886</v>
      </c>
      <c r="DA12" s="6">
        <f t="shared" si="3"/>
        <v>-59307.032990864886</v>
      </c>
      <c r="DB12" s="6">
        <f t="shared" si="3"/>
        <v>-62357.10897325223</v>
      </c>
      <c r="DC12" s="6">
        <f t="shared" si="3"/>
        <v>-62357.10897325223</v>
      </c>
      <c r="DD12" s="6">
        <f t="shared" si="3"/>
        <v>-59972.908879697563</v>
      </c>
      <c r="DE12" s="6">
        <f t="shared" si="3"/>
        <v>-60639.274533916432</v>
      </c>
      <c r="DF12" s="6">
        <f t="shared" si="3"/>
        <v>-42967.257384032222</v>
      </c>
      <c r="DG12" s="6">
        <f t="shared" si="3"/>
        <v>-63757.865795660706</v>
      </c>
    </row>
    <row r="13" spans="2:112" ht="18" customHeight="1">
      <c r="B13" s="1" t="s">
        <v>130</v>
      </c>
      <c r="C13" s="2" t="s">
        <v>125</v>
      </c>
      <c r="D13" s="3" t="s">
        <v>141</v>
      </c>
      <c r="G13" s="6">
        <f>-'[1]Sales&amp;OpEx'!G$37</f>
        <v>0</v>
      </c>
      <c r="H13" s="6">
        <f>-'[1]Sales&amp;OpEx'!H$37</f>
        <v>0</v>
      </c>
      <c r="I13" s="6">
        <f>-'[1]Sales&amp;OpEx'!I$37</f>
        <v>0</v>
      </c>
      <c r="J13" s="6">
        <f>-'[1]Sales&amp;OpEx'!J$37</f>
        <v>0</v>
      </c>
      <c r="K13" s="6">
        <f>-'[1]Sales&amp;OpEx'!K$37</f>
        <v>0</v>
      </c>
      <c r="L13" s="6">
        <f>-'[1]Sales&amp;OpEx'!L$37</f>
        <v>0</v>
      </c>
      <c r="M13" s="6">
        <f>-'[1]Sales&amp;OpEx'!M$37</f>
        <v>0</v>
      </c>
      <c r="N13" s="6">
        <f>-'[1]Sales&amp;OpEx'!N$37</f>
        <v>0</v>
      </c>
      <c r="O13" s="6">
        <f>-'[1]Sales&amp;OpEx'!O$37</f>
        <v>0</v>
      </c>
      <c r="P13" s="6">
        <f>-'[1]Sales&amp;OpEx'!P$37</f>
        <v>0</v>
      </c>
      <c r="Q13" s="6">
        <f>-'[1]Sales&amp;OpEx'!Q$37</f>
        <v>0</v>
      </c>
      <c r="R13" s="6">
        <f>-'[1]Sales&amp;OpEx'!R$37</f>
        <v>0</v>
      </c>
      <c r="S13" s="6">
        <f>-'[1]Sales&amp;OpEx'!S$37</f>
        <v>0</v>
      </c>
      <c r="T13" s="6">
        <f>-'[1]Sales&amp;OpEx'!T$37</f>
        <v>0</v>
      </c>
      <c r="U13" s="6">
        <f>-'[1]Sales&amp;OpEx'!U$37</f>
        <v>0</v>
      </c>
      <c r="V13" s="6">
        <f>-'[1]Sales&amp;OpEx'!V$37</f>
        <v>0</v>
      </c>
      <c r="W13" s="6">
        <f>-'[1]Sales&amp;OpEx'!W$37</f>
        <v>0</v>
      </c>
      <c r="X13" s="6">
        <f>-'[1]Sales&amp;OpEx'!X$37</f>
        <v>0</v>
      </c>
      <c r="Y13" s="6">
        <f>-'[1]Sales&amp;OpEx'!Y$37</f>
        <v>0</v>
      </c>
      <c r="Z13" s="6">
        <f>-'[1]Sales&amp;OpEx'!Z$37</f>
        <v>0</v>
      </c>
      <c r="AA13" s="6">
        <f>-'[1]Sales&amp;OpEx'!AA$37</f>
        <v>0</v>
      </c>
      <c r="AB13" s="6">
        <f>-'[1]Sales&amp;OpEx'!AB$37</f>
        <v>0</v>
      </c>
      <c r="AC13" s="6">
        <f>-'[1]Sales&amp;OpEx'!AC$37</f>
        <v>0</v>
      </c>
      <c r="AD13" s="6">
        <f>-'[1]Sales&amp;OpEx'!AD$37</f>
        <v>0</v>
      </c>
      <c r="AE13" s="6">
        <f>-'[1]Sales&amp;OpEx'!AE$37</f>
        <v>0</v>
      </c>
      <c r="AF13" s="6">
        <f>-'[1]Sales&amp;OpEx'!AF$37</f>
        <v>0</v>
      </c>
      <c r="AG13" s="6">
        <f>-'[1]Sales&amp;OpEx'!AG$37</f>
        <v>0</v>
      </c>
      <c r="AH13" s="6">
        <f>-'[1]Sales&amp;OpEx'!AH$37</f>
        <v>0</v>
      </c>
      <c r="AI13" s="6">
        <f>-'[1]Sales&amp;OpEx'!AI$37</f>
        <v>0</v>
      </c>
      <c r="AJ13" s="6">
        <f>-'[1]Sales&amp;OpEx'!AJ$37</f>
        <v>0</v>
      </c>
      <c r="AK13" s="6">
        <f>-'[1]Sales&amp;OpEx'!AK$37</f>
        <v>-1852.6430925999766</v>
      </c>
      <c r="AL13" s="6">
        <f>-'[1]Sales&amp;OpEx'!AL$37</f>
        <v>-1882.3349609612794</v>
      </c>
      <c r="AM13" s="6">
        <f>-'[1]Sales&amp;OpEx'!AM$37</f>
        <v>-1891.7146210464743</v>
      </c>
      <c r="AN13" s="6">
        <f>-'[1]Sales&amp;OpEx'!AN$37</f>
        <v>-1903.3932142517071</v>
      </c>
      <c r="AO13" s="6">
        <f>-'[1]Sales&amp;OpEx'!AO$37</f>
        <v>-1912.8020412458118</v>
      </c>
      <c r="AP13" s="6">
        <f>-'[1]Sales&amp;OpEx'!AP$37</f>
        <v>-1943.4863939392931</v>
      </c>
      <c r="AQ13" s="6">
        <f>-'[1]Sales&amp;OpEx'!AQ$37</f>
        <v>-1953.1992439467967</v>
      </c>
      <c r="AR13" s="6">
        <f>-'[1]Sales&amp;OpEx'!AR$37</f>
        <v>-1954.3207291815818</v>
      </c>
      <c r="AS13" s="6">
        <f>-'[1]Sales&amp;OpEx'!AS$37</f>
        <v>-1985.906735591351</v>
      </c>
      <c r="AT13" s="6">
        <f>-'[1]Sales&amp;OpEx'!AT$37</f>
        <v>-1359.8689417794305</v>
      </c>
      <c r="AU13" s="6">
        <f>-'[1]Sales&amp;OpEx'!AU$37</f>
        <v>-2028.0614121948647</v>
      </c>
      <c r="AV13" s="6">
        <f>-'[1]Sales&amp;OpEx'!AV$37</f>
        <v>-2023.7586654802228</v>
      </c>
      <c r="AW13" s="6">
        <f>-'[1]Sales&amp;OpEx'!AW$37</f>
        <v>-2056.5461744950812</v>
      </c>
      <c r="AX13" s="6">
        <f>-'[1]Sales&amp;OpEx'!AX$37</f>
        <v>-2089.727828369465</v>
      </c>
      <c r="AY13" s="6">
        <f>-'[1]Sales&amp;OpEx'!AY$37</f>
        <v>-2100.3639342792112</v>
      </c>
      <c r="AZ13" s="6">
        <f>-'[1]Sales&amp;OpEx'!AZ$37</f>
        <v>-2095.8621299932511</v>
      </c>
      <c r="BA13" s="6">
        <f>-'[1]Sales&amp;OpEx'!BA$37</f>
        <v>-2129.7708940254979</v>
      </c>
      <c r="BB13" s="6">
        <f>-'[1]Sales&amp;OpEx'!BB$37</f>
        <v>-1458.4056539011638</v>
      </c>
      <c r="BC13" s="6">
        <f>-'[1]Sales&amp;OpEx'!BC$37</f>
        <v>-2175.0519370231541</v>
      </c>
      <c r="BD13" s="6">
        <f>-'[1]Sales&amp;OpEx'!BD$37</f>
        <v>-2188.5010823135567</v>
      </c>
      <c r="BE13" s="6">
        <f>-'[1]Sales&amp;OpEx'!BE$37</f>
        <v>-2199.3407115843502</v>
      </c>
      <c r="BF13" s="6">
        <f>-'[1]Sales&amp;OpEx'!BF$37</f>
        <v>-2234.6436402548957</v>
      </c>
      <c r="BG13" s="6">
        <f>-'[1]Sales&amp;OpEx'!BG$37</f>
        <v>-2245.8337455661931</v>
      </c>
      <c r="BH13" s="6">
        <f>-'[1]Sales&amp;OpEx'!BH$37</f>
        <v>-2247.3173658253804</v>
      </c>
      <c r="BI13" s="6">
        <f>-'[1]Sales&amp;OpEx'!BI$37</f>
        <v>-2283.8382818326886</v>
      </c>
      <c r="BJ13" s="6">
        <f>-'[1]Sales&amp;OpEx'!BJ$37</f>
        <v>-1564.0185571584957</v>
      </c>
      <c r="BK13" s="6">
        <f>-'[1]Sales&amp;OpEx'!BK$37</f>
        <v>-2332.7290388090892</v>
      </c>
      <c r="BL13" s="6">
        <f>-'[1]Sales&amp;OpEx'!BL$37</f>
        <v>-2327.8619144107683</v>
      </c>
      <c r="BM13" s="6">
        <f>-'[1]Sales&amp;OpEx'!BM$37</f>
        <v>-2365.6605540034429</v>
      </c>
      <c r="BN13" s="6">
        <f>-'[1]Sales&amp;OpEx'!BN$37</f>
        <v>-2403.9162284259041</v>
      </c>
      <c r="BO13" s="6">
        <f>-'[1]Sales&amp;OpEx'!BO$37</f>
        <v>-2416.2384735619776</v>
      </c>
      <c r="BP13" s="6">
        <f>-'[1]Sales&amp;OpEx'!BP$37</f>
        <v>-2411.2258183624031</v>
      </c>
      <c r="BQ13" s="6">
        <f>-'[1]Sales&amp;OpEx'!BQ$37</f>
        <v>-2450.4075768621592</v>
      </c>
      <c r="BR13" s="6">
        <f>-'[1]Sales&amp;OpEx'!BR$37</f>
        <v>-1678.0866228746779</v>
      </c>
      <c r="BS13" s="6">
        <f>-'[1]Sales&amp;OpEx'!BS$37</f>
        <v>-2502.8583122057876</v>
      </c>
      <c r="BT13" s="6">
        <f>-'[1]Sales&amp;OpEx'!BT$37</f>
        <v>-2481.4121456496864</v>
      </c>
      <c r="BU13" s="6">
        <f>-'[1]Sales&amp;OpEx'!BU$37</f>
        <v>-2493.9985605053434</v>
      </c>
      <c r="BV13" s="6">
        <f>-'[1]Sales&amp;OpEx'!BV$37</f>
        <v>-2534.3353097491795</v>
      </c>
      <c r="BW13" s="6">
        <f>-'[1]Sales&amp;OpEx'!BW$37</f>
        <v>-2547.3317894078814</v>
      </c>
      <c r="BX13" s="6">
        <f>-'[1]Sales&amp;OpEx'!BX$37</f>
        <v>-2511.3867198499097</v>
      </c>
      <c r="BY13" s="6">
        <f>-'[1]Sales&amp;OpEx'!BY$37</f>
        <v>-2552.2424685928299</v>
      </c>
      <c r="BZ13" s="6">
        <f>-'[1]Sales&amp;OpEx'!BZ$37</f>
        <v>-1747.8572588489515</v>
      </c>
      <c r="CA13" s="6">
        <f>-'[1]Sales&amp;OpEx'!CA$37</f>
        <v>-2606.9688067908601</v>
      </c>
      <c r="CB13" s="6">
        <f>-'[1]Sales&amp;OpEx'!CB$37</f>
        <v>-2563.2186824180235</v>
      </c>
      <c r="CC13" s="6">
        <f>-'[1]Sales&amp;OpEx'!CC$37</f>
        <v>-2604.978098016401</v>
      </c>
      <c r="CD13" s="6">
        <f>-'[1]Sales&amp;OpEx'!CD$37</f>
        <v>-2647.2468195735992</v>
      </c>
      <c r="CE13" s="6">
        <f>-'[1]Sales&amp;OpEx'!CE$37</f>
        <v>-2660.9600794815178</v>
      </c>
      <c r="CF13" s="6">
        <f>-'[1]Sales&amp;OpEx'!CF$37</f>
        <v>-2616.2279999982479</v>
      </c>
      <c r="CG13" s="6">
        <f>-'[1]Sales&amp;OpEx'!CG$37</f>
        <v>-2658.7730674200279</v>
      </c>
      <c r="CH13" s="6">
        <f>-'[1]Sales&amp;OpEx'!CH$37</f>
        <v>-1820.8015615532665</v>
      </c>
      <c r="CI13" s="6">
        <f>-'[1]Sales&amp;OpEx'!CI$37</f>
        <v>-2715.7500997969469</v>
      </c>
      <c r="CJ13" s="6">
        <f>-'[1]Sales&amp;OpEx'!CJ$37</f>
        <v>-2692.4801687971008</v>
      </c>
      <c r="CK13" s="6">
        <f>-'[1]Sales&amp;OpEx'!CK$37</f>
        <v>-2706.1376167701424</v>
      </c>
      <c r="CL13" s="6">
        <f>-'[1]Sales&amp;OpEx'!CL$37</f>
        <v>-2749.9058516014829</v>
      </c>
      <c r="CM13" s="6">
        <f>-'[1]Sales&amp;OpEx'!CM$37</f>
        <v>-2764.0082631804321</v>
      </c>
      <c r="CN13" s="6">
        <f>-'[1]Sales&amp;OpEx'!CN$37</f>
        <v>-2671.6997586527395</v>
      </c>
      <c r="CO13" s="6">
        <f>-'[1]Sales&amp;OpEx'!CO$37</f>
        <v>-2715.1255670496198</v>
      </c>
      <c r="CP13" s="6">
        <f>-'[1]Sales&amp;OpEx'!CP$37</f>
        <v>-1859.3785419851761</v>
      </c>
      <c r="CQ13" s="6">
        <f>-'[1]Sales&amp;OpEx'!CQ$37</f>
        <v>-2773.2661501111929</v>
      </c>
      <c r="CR13" s="6">
        <f>-'[1]Sales&amp;OpEx'!CR$37</f>
        <v>-2673.3242874192729</v>
      </c>
      <c r="CS13" s="6">
        <f>-'[1]Sales&amp;OpEx'!CS$37</f>
        <v>-2716.7765009070399</v>
      </c>
      <c r="CT13" s="6">
        <f>-'[1]Sales&amp;OpEx'!CT$37</f>
        <v>-2760.7554955574196</v>
      </c>
      <c r="CU13" s="6">
        <f>-'[1]Sales&amp;OpEx'!CU$37</f>
        <v>-2774.952436387754</v>
      </c>
      <c r="CV13" s="6">
        <f>-'[1]Sales&amp;OpEx'!CV$37</f>
        <v>-2674.949803981573</v>
      </c>
      <c r="CW13" s="6">
        <f>-'[1]Sales&amp;OpEx'!CW$37</f>
        <v>-2718.4284386158602</v>
      </c>
      <c r="CX13" s="6">
        <f>-'[1]Sales&amp;OpEx'!CX$37</f>
        <v>-1861.6404220955214</v>
      </c>
      <c r="CY13" s="6">
        <f>-'[1]Sales&amp;OpEx'!CY$37</f>
        <v>-2776.6397480117766</v>
      </c>
      <c r="CZ13" s="6">
        <f>-'[1]Sales&amp;OpEx'!CZ$37</f>
        <v>-2699.0348013250295</v>
      </c>
      <c r="DA13" s="6">
        <f>-'[1]Sales&amp;OpEx'!DA$37</f>
        <v>-2712.7254972877022</v>
      </c>
      <c r="DB13" s="6">
        <f>-'[1]Sales&amp;OpEx'!DB$37</f>
        <v>-2756.6002824658349</v>
      </c>
      <c r="DC13" s="6">
        <f>-'[1]Sales&amp;OpEx'!DC$37</f>
        <v>-2770.7370252635346</v>
      </c>
      <c r="DD13" s="6">
        <f>-'[1]Sales&amp;OpEx'!DD$37</f>
        <v>-2678.2038028963589</v>
      </c>
      <c r="DE13" s="6">
        <f>-'[1]Sales&amp;OpEx'!DE$37</f>
        <v>-2721.7353280296402</v>
      </c>
      <c r="DF13" s="6">
        <f>-'[1]Sales&amp;OpEx'!DF$37</f>
        <v>-1863.9050537174699</v>
      </c>
      <c r="DG13" s="6">
        <f>-'[1]Sales&amp;OpEx'!DG$37</f>
        <v>-2780.0174497964354</v>
      </c>
    </row>
    <row r="14" spans="2:112" ht="18" customHeight="1">
      <c r="B14" s="1" t="s">
        <v>131</v>
      </c>
      <c r="C14" s="2" t="s">
        <v>125</v>
      </c>
      <c r="D14" s="3" t="s">
        <v>141</v>
      </c>
      <c r="G14" s="6">
        <f>-'[1]Sales&amp;OpEx'!G42</f>
        <v>0</v>
      </c>
      <c r="H14" s="6">
        <f>-'[1]Sales&amp;OpEx'!H42</f>
        <v>0</v>
      </c>
      <c r="I14" s="6">
        <f>-'[1]Sales&amp;OpEx'!I42</f>
        <v>0</v>
      </c>
      <c r="J14" s="6">
        <f>-'[1]Sales&amp;OpEx'!J42</f>
        <v>0</v>
      </c>
      <c r="K14" s="6">
        <f>-'[1]Sales&amp;OpEx'!K42</f>
        <v>0</v>
      </c>
      <c r="L14" s="6">
        <f>-'[1]Sales&amp;OpEx'!L42</f>
        <v>0</v>
      </c>
      <c r="M14" s="6">
        <f>-'[1]Sales&amp;OpEx'!M42</f>
        <v>0</v>
      </c>
      <c r="N14" s="6">
        <f>-'[1]Sales&amp;OpEx'!N42</f>
        <v>0</v>
      </c>
      <c r="O14" s="6">
        <f>-'[1]Sales&amp;OpEx'!O42</f>
        <v>0</v>
      </c>
      <c r="P14" s="6">
        <f>-'[1]Sales&amp;OpEx'!P42</f>
        <v>0</v>
      </c>
      <c r="Q14" s="6">
        <f>-'[1]Sales&amp;OpEx'!Q42</f>
        <v>0</v>
      </c>
      <c r="R14" s="6">
        <f>-'[1]Sales&amp;OpEx'!R42</f>
        <v>0</v>
      </c>
      <c r="S14" s="6">
        <f>-'[1]Sales&amp;OpEx'!S42</f>
        <v>0</v>
      </c>
      <c r="T14" s="6">
        <f>-'[1]Sales&amp;OpEx'!T42</f>
        <v>0</v>
      </c>
      <c r="U14" s="6">
        <f>-'[1]Sales&amp;OpEx'!U42</f>
        <v>0</v>
      </c>
      <c r="V14" s="6">
        <f>-'[1]Sales&amp;OpEx'!V42</f>
        <v>0</v>
      </c>
      <c r="W14" s="6">
        <f>-'[1]Sales&amp;OpEx'!W42</f>
        <v>0</v>
      </c>
      <c r="X14" s="6">
        <f>-'[1]Sales&amp;OpEx'!X42</f>
        <v>0</v>
      </c>
      <c r="Y14" s="6">
        <f>-'[1]Sales&amp;OpEx'!Y42</f>
        <v>0</v>
      </c>
      <c r="Z14" s="6">
        <f>-'[1]Sales&amp;OpEx'!Z42</f>
        <v>0</v>
      </c>
      <c r="AA14" s="6">
        <f>-'[1]Sales&amp;OpEx'!AA42</f>
        <v>0</v>
      </c>
      <c r="AB14" s="6">
        <f>-'[1]Sales&amp;OpEx'!AB42</f>
        <v>0</v>
      </c>
      <c r="AC14" s="6">
        <f>-'[1]Sales&amp;OpEx'!AC42</f>
        <v>0</v>
      </c>
      <c r="AD14" s="6">
        <f>-'[1]Sales&amp;OpEx'!AD42</f>
        <v>0</v>
      </c>
      <c r="AE14" s="6">
        <f>-'[1]Sales&amp;OpEx'!AE42</f>
        <v>0</v>
      </c>
      <c r="AF14" s="6">
        <f>-'[1]Sales&amp;OpEx'!AF42</f>
        <v>0</v>
      </c>
      <c r="AG14" s="6">
        <f>-'[1]Sales&amp;OpEx'!AG42</f>
        <v>0</v>
      </c>
      <c r="AH14" s="6">
        <f>-'[1]Sales&amp;OpEx'!AH42</f>
        <v>0</v>
      </c>
      <c r="AI14" s="6">
        <f>-'[1]Sales&amp;OpEx'!AI42</f>
        <v>0</v>
      </c>
      <c r="AJ14" s="6">
        <f>-'[1]Sales&amp;OpEx'!AJ42</f>
        <v>0</v>
      </c>
      <c r="AK14" s="6">
        <f>-'[1]Sales&amp;OpEx'!AK42</f>
        <v>-4622.7087969041604</v>
      </c>
      <c r="AL14" s="6">
        <f>-'[1]Sales&amp;OpEx'!AL42</f>
        <v>-8070.8804067462415</v>
      </c>
      <c r="AM14" s="6">
        <f>-'[1]Sales&amp;OpEx'!AM42</f>
        <v>-5492.3168594622321</v>
      </c>
      <c r="AN14" s="6">
        <f>-'[1]Sales&amp;OpEx'!AN42</f>
        <v>-5504.8474149418471</v>
      </c>
      <c r="AO14" s="6">
        <f>-'[1]Sales&amp;OpEx'!AO42</f>
        <v>-4646.544698941505</v>
      </c>
      <c r="AP14" s="6">
        <f>-'[1]Sales&amp;OpEx'!AP42</f>
        <v>-8112.4959882553267</v>
      </c>
      <c r="AQ14" s="6">
        <f>-'[1]Sales&amp;OpEx'!AQ42</f>
        <v>-5520.6366893221339</v>
      </c>
      <c r="AR14" s="6">
        <f>-'[1]Sales&amp;OpEx'!AR42</f>
        <v>-5533.231855640548</v>
      </c>
      <c r="AS14" s="6">
        <f>-'[1]Sales&amp;OpEx'!AS42</f>
        <v>-4670.5035051570921</v>
      </c>
      <c r="AT14" s="6">
        <f>-'[1]Sales&amp;OpEx'!AT42</f>
        <v>-9851.8810370245592</v>
      </c>
      <c r="AU14" s="6">
        <f>-'[1]Sales&amp;OpEx'!AU42</f>
        <v>-6704.3060471862991</v>
      </c>
      <c r="AV14" s="6">
        <f>-'[1]Sales&amp;OpEx'!AV42</f>
        <v>-6719.6017194911219</v>
      </c>
      <c r="AW14" s="6">
        <f>-'[1]Sales&amp;OpEx'!AW42</f>
        <v>-5671.8974015430604</v>
      </c>
      <c r="AX14" s="6">
        <f>-'[1]Sales&amp;OpEx'!AX42</f>
        <v>-9902.6799260740627</v>
      </c>
      <c r="AY14" s="6">
        <f>-'[1]Sales&amp;OpEx'!AY42</f>
        <v>-6738.8752119747305</v>
      </c>
      <c r="AZ14" s="6">
        <f>-'[1]Sales&amp;OpEx'!AZ42</f>
        <v>-6853.9937538809436</v>
      </c>
      <c r="BA14" s="6">
        <f>-'[1]Sales&amp;OpEx'!BA42</f>
        <v>-5785.335349573922</v>
      </c>
      <c r="BB14" s="6">
        <f>-'[1]Sales&amp;OpEx'!BB42</f>
        <v>-10100.733524595544</v>
      </c>
      <c r="BC14" s="6">
        <f>-'[1]Sales&amp;OpEx'!BC42</f>
        <v>-6873.6527162142256</v>
      </c>
      <c r="BD14" s="6">
        <f>-'[1]Sales&amp;OpEx'!BD42</f>
        <v>-6991.0736289585629</v>
      </c>
      <c r="BE14" s="6">
        <f>-'[1]Sales&amp;OpEx'!BE42</f>
        <v>-5901.0420565654003</v>
      </c>
      <c r="BF14" s="6">
        <f>-'[1]Sales&amp;OpEx'!BF42</f>
        <v>-10302.748195087455</v>
      </c>
      <c r="BG14" s="6">
        <f>-'[1]Sales&amp;OpEx'!BG42</f>
        <v>-7011.1257705385106</v>
      </c>
      <c r="BH14" s="6">
        <f>-'[1]Sales&amp;OpEx'!BH42</f>
        <v>-7130.8951015377352</v>
      </c>
      <c r="BI14" s="6">
        <f>-'[1]Sales&amp;OpEx'!BI42</f>
        <v>-6019.0628976967091</v>
      </c>
      <c r="BJ14" s="6">
        <f>-'[1]Sales&amp;OpEx'!BJ42</f>
        <v>-10508.803158989205</v>
      </c>
      <c r="BK14" s="6">
        <f>-'[1]Sales&amp;OpEx'!BK42</f>
        <v>-7151.3482859492815</v>
      </c>
      <c r="BL14" s="6">
        <f>-'[1]Sales&amp;OpEx'!BL42</f>
        <v>-7273.5130035684888</v>
      </c>
      <c r="BM14" s="6">
        <f>-'[1]Sales&amp;OpEx'!BM42</f>
        <v>-6139.4441556506445</v>
      </c>
      <c r="BN14" s="6">
        <f>-'[1]Sales&amp;OpEx'!BN42</f>
        <v>-10718.97922216899</v>
      </c>
      <c r="BO14" s="6">
        <f>-'[1]Sales&amp;OpEx'!BO42</f>
        <v>-7294.3752516682689</v>
      </c>
      <c r="BP14" s="6">
        <f>-'[1]Sales&amp;OpEx'!BP42</f>
        <v>-7418.9832636398605</v>
      </c>
      <c r="BQ14" s="6">
        <f>-'[1]Sales&amp;OpEx'!BQ42</f>
        <v>-6262.2330387636575</v>
      </c>
      <c r="BR14" s="6">
        <f>-'[1]Sales&amp;OpEx'!BR42</f>
        <v>-10933.358806612372</v>
      </c>
      <c r="BS14" s="6">
        <f>-'[1]Sales&amp;OpEx'!BS42</f>
        <v>-7440.2627567016352</v>
      </c>
      <c r="BT14" s="6">
        <f>-'[1]Sales&amp;OpEx'!BT42</f>
        <v>-7567.3629289126593</v>
      </c>
      <c r="BU14" s="6">
        <f>-'[1]Sales&amp;OpEx'!BU42</f>
        <v>-6387.477699538932</v>
      </c>
      <c r="BV14" s="6">
        <f>-'[1]Sales&amp;OpEx'!BV42</f>
        <v>-11152.025982744621</v>
      </c>
      <c r="BW14" s="6">
        <f>-'[1]Sales&amp;OpEx'!BW42</f>
        <v>-7589.0680118356686</v>
      </c>
      <c r="BX14" s="6">
        <f>-'[1]Sales&amp;OpEx'!BX42</f>
        <v>-7718.7101874909122</v>
      </c>
      <c r="BY14" s="6">
        <f>-'[1]Sales&amp;OpEx'!BY42</f>
        <v>-6515.2272535297107</v>
      </c>
      <c r="BZ14" s="6">
        <f>-'[1]Sales&amp;OpEx'!BZ42</f>
        <v>-11375.066502399512</v>
      </c>
      <c r="CA14" s="6">
        <f>-'[1]Sales&amp;OpEx'!CA42</f>
        <v>-7740.8493720723818</v>
      </c>
      <c r="CB14" s="6">
        <f>-'[1]Sales&amp;OpEx'!CB42</f>
        <v>-7873.0843912407308</v>
      </c>
      <c r="CC14" s="6">
        <f>-'[1]Sales&amp;OpEx'!CC42</f>
        <v>-6645.5317986003065</v>
      </c>
      <c r="CD14" s="6">
        <f>-'[1]Sales&amp;OpEx'!CD42</f>
        <v>-11602.567832447505</v>
      </c>
      <c r="CE14" s="6">
        <f>-'[1]Sales&amp;OpEx'!CE42</f>
        <v>-7895.6663595138316</v>
      </c>
      <c r="CF14" s="6">
        <f>-'[1]Sales&amp;OpEx'!CF42</f>
        <v>-8030.5460790655461</v>
      </c>
      <c r="CG14" s="6">
        <f>-'[1]Sales&amp;OpEx'!CG42</f>
        <v>-6778.442434572311</v>
      </c>
      <c r="CH14" s="6">
        <f>-'[1]Sales&amp;OpEx'!CH42</f>
        <v>-11834.619189096453</v>
      </c>
      <c r="CI14" s="6">
        <f>-'[1]Sales&amp;OpEx'!CI42</f>
        <v>-8053.5796867041081</v>
      </c>
      <c r="CJ14" s="6">
        <f>-'[1]Sales&amp;OpEx'!CJ42</f>
        <v>-8191.1570006468573</v>
      </c>
      <c r="CK14" s="6">
        <f>-'[1]Sales&amp;OpEx'!CK42</f>
        <v>-6914.0112832637578</v>
      </c>
      <c r="CL14" s="6">
        <f>-'[1]Sales&amp;OpEx'!CL42</f>
        <v>-12071.311572878381</v>
      </c>
      <c r="CM14" s="6">
        <f>-'[1]Sales&amp;OpEx'!CM42</f>
        <v>-8214.651280438191</v>
      </c>
      <c r="CN14" s="6">
        <f>-'[1]Sales&amp;OpEx'!CN42</f>
        <v>-8354.9801406597944</v>
      </c>
      <c r="CO14" s="6">
        <f>-'[1]Sales&amp;OpEx'!CO42</f>
        <v>-7052.2915089290327</v>
      </c>
      <c r="CP14" s="6">
        <f>-'[1]Sales&amp;OpEx'!CP42</f>
        <v>-12312.737804335949</v>
      </c>
      <c r="CQ14" s="6">
        <f>-'[1]Sales&amp;OpEx'!CQ42</f>
        <v>-8378.9443060469548</v>
      </c>
      <c r="CR14" s="6">
        <f>-'[1]Sales&amp;OpEx'!CR42</f>
        <v>-8522.0797434729902</v>
      </c>
      <c r="CS14" s="6">
        <f>-'[1]Sales&amp;OpEx'!CS42</f>
        <v>-7193.3373391076129</v>
      </c>
      <c r="CT14" s="6">
        <f>-'[1]Sales&amp;OpEx'!CT42</f>
        <v>-12558.99256042267</v>
      </c>
      <c r="CU14" s="6">
        <f>-'[1]Sales&amp;OpEx'!CU42</f>
        <v>-8546.5231921678933</v>
      </c>
      <c r="CV14" s="6">
        <f>-'[1]Sales&amp;OpEx'!CV42</f>
        <v>-8692.5213383424489</v>
      </c>
      <c r="CW14" s="6">
        <f>-'[1]Sales&amp;OpEx'!CW42</f>
        <v>-7337.2040858897653</v>
      </c>
      <c r="CX14" s="6">
        <f>-'[1]Sales&amp;OpEx'!CX42</f>
        <v>-12810.172411631125</v>
      </c>
      <c r="CY14" s="6">
        <f>-'[1]Sales&amp;OpEx'!CY42</f>
        <v>-8717.453656011252</v>
      </c>
      <c r="CZ14" s="6">
        <f>-'[1]Sales&amp;OpEx'!CZ42</f>
        <v>-8866.3717651092993</v>
      </c>
      <c r="DA14" s="6">
        <f>-'[1]Sales&amp;OpEx'!DA42</f>
        <v>-7483.9481676075602</v>
      </c>
      <c r="DB14" s="6">
        <f>-'[1]Sales&amp;OpEx'!DB42</f>
        <v>-13066.375859863747</v>
      </c>
      <c r="DC14" s="6">
        <f>-'[1]Sales&amp;OpEx'!DC42</f>
        <v>-8891.8027291314775</v>
      </c>
      <c r="DD14" s="6">
        <f>-'[1]Sales&amp;OpEx'!DD42</f>
        <v>-9043.6992004114836</v>
      </c>
      <c r="DE14" s="6">
        <f>-'[1]Sales&amp;OpEx'!DE42</f>
        <v>-7633.6271309597096</v>
      </c>
      <c r="DF14" s="6">
        <f>-'[1]Sales&amp;OpEx'!DF42</f>
        <v>-13327.703377061021</v>
      </c>
      <c r="DG14" s="6">
        <f>-'[1]Sales&amp;OpEx'!DG42</f>
        <v>-9069.6387837141083</v>
      </c>
    </row>
    <row r="15" spans="2:112" ht="18" customHeight="1">
      <c r="B15" s="1" t="s">
        <v>132</v>
      </c>
      <c r="C15" s="2" t="s">
        <v>125</v>
      </c>
      <c r="D15" s="3" t="s">
        <v>141</v>
      </c>
      <c r="G15" s="7">
        <f>-'[1]Sales&amp;OpEx'!G44</f>
        <v>0</v>
      </c>
      <c r="H15" s="7">
        <f>-'[1]Sales&amp;OpEx'!H44</f>
        <v>0</v>
      </c>
      <c r="I15" s="7">
        <f>-'[1]Sales&amp;OpEx'!I44</f>
        <v>0</v>
      </c>
      <c r="J15" s="7">
        <f>-'[1]Sales&amp;OpEx'!J44</f>
        <v>0</v>
      </c>
      <c r="K15" s="7">
        <f>-'[1]Sales&amp;OpEx'!K44</f>
        <v>0</v>
      </c>
      <c r="L15" s="7">
        <f>-'[1]Sales&amp;OpEx'!L44</f>
        <v>0</v>
      </c>
      <c r="M15" s="7">
        <f>-'[1]Sales&amp;OpEx'!M44</f>
        <v>0</v>
      </c>
      <c r="N15" s="7">
        <f>-'[1]Sales&amp;OpEx'!N44</f>
        <v>0</v>
      </c>
      <c r="O15" s="7">
        <f>-'[1]Sales&amp;OpEx'!O44</f>
        <v>0</v>
      </c>
      <c r="P15" s="7">
        <f>-'[1]Sales&amp;OpEx'!P44</f>
        <v>0</v>
      </c>
      <c r="Q15" s="7">
        <f>-'[1]Sales&amp;OpEx'!Q44</f>
        <v>0</v>
      </c>
      <c r="R15" s="7">
        <f>-'[1]Sales&amp;OpEx'!R44</f>
        <v>0</v>
      </c>
      <c r="S15" s="7">
        <f>-'[1]Sales&amp;OpEx'!S44</f>
        <v>0</v>
      </c>
      <c r="T15" s="7">
        <f>-'[1]Sales&amp;OpEx'!T44</f>
        <v>0</v>
      </c>
      <c r="U15" s="7">
        <f>-'[1]Sales&amp;OpEx'!U44</f>
        <v>0</v>
      </c>
      <c r="V15" s="7">
        <f>-'[1]Sales&amp;OpEx'!V44</f>
        <v>0</v>
      </c>
      <c r="W15" s="7">
        <f>-'[1]Sales&amp;OpEx'!W44</f>
        <v>0</v>
      </c>
      <c r="X15" s="7">
        <f>-'[1]Sales&amp;OpEx'!X44</f>
        <v>0</v>
      </c>
      <c r="Y15" s="7">
        <f>-'[1]Sales&amp;OpEx'!Y44</f>
        <v>0</v>
      </c>
      <c r="Z15" s="7">
        <f>-'[1]Sales&amp;OpEx'!Z44</f>
        <v>0</v>
      </c>
      <c r="AA15" s="7">
        <f>-'[1]Sales&amp;OpEx'!AA44</f>
        <v>0</v>
      </c>
      <c r="AB15" s="7">
        <f>-'[1]Sales&amp;OpEx'!AB44</f>
        <v>0</v>
      </c>
      <c r="AC15" s="7">
        <f>-'[1]Sales&amp;OpEx'!AC44</f>
        <v>0</v>
      </c>
      <c r="AD15" s="7">
        <f>-'[1]Sales&amp;OpEx'!AD44</f>
        <v>0</v>
      </c>
      <c r="AE15" s="7">
        <f>-'[1]Sales&amp;OpEx'!AE44</f>
        <v>0</v>
      </c>
      <c r="AF15" s="7">
        <f>-'[1]Sales&amp;OpEx'!AF44</f>
        <v>0</v>
      </c>
      <c r="AG15" s="7">
        <f>-'[1]Sales&amp;OpEx'!AG44</f>
        <v>0</v>
      </c>
      <c r="AH15" s="7">
        <f>-'[1]Sales&amp;OpEx'!AH44</f>
        <v>0</v>
      </c>
      <c r="AI15" s="7">
        <f>-'[1]Sales&amp;OpEx'!AI44</f>
        <v>0</v>
      </c>
      <c r="AJ15" s="7">
        <f>-'[1]Sales&amp;OpEx'!AJ44</f>
        <v>0</v>
      </c>
      <c r="AK15" s="7">
        <f>-'[1]Sales&amp;OpEx'!AK44</f>
        <v>-2413.2364544151978</v>
      </c>
      <c r="AL15" s="7">
        <f>-'[1]Sales&amp;OpEx'!AL44</f>
        <v>-2432.4062195103561</v>
      </c>
      <c r="AM15" s="7">
        <f>-'[1]Sales&amp;OpEx'!AM44</f>
        <v>-2451.7565900593277</v>
      </c>
      <c r="AN15" s="7">
        <f>-'[1]Sales&amp;OpEx'!AN44</f>
        <v>-2433.254226008301</v>
      </c>
      <c r="AO15" s="7">
        <f>-'[1]Sales&amp;OpEx'!AO44</f>
        <v>-2450.3199081900902</v>
      </c>
      <c r="AP15" s="7">
        <f>-'[1]Sales&amp;OpEx'!AP44</f>
        <v>-2467.709535293583</v>
      </c>
      <c r="AQ15" s="7">
        <f>-'[1]Sales&amp;OpEx'!AQ44</f>
        <v>-2485.237507927046</v>
      </c>
      <c r="AR15" s="7">
        <f>-'[1]Sales&amp;OpEx'!AR44</f>
        <v>-2466.6002809586571</v>
      </c>
      <c r="AS15" s="7">
        <f>-'[1]Sales&amp;OpEx'!AS44</f>
        <v>-2483.9036678617731</v>
      </c>
      <c r="AT15" s="7">
        <f>-'[1]Sales&amp;OpEx'!AT44</f>
        <v>-2501.5355824533663</v>
      </c>
      <c r="AU15" s="7">
        <f>-'[1]Sales&amp;OpEx'!AU44</f>
        <v>-2519.3078425353006</v>
      </c>
      <c r="AV15" s="7">
        <f>-'[1]Sales&amp;OpEx'!AV44</f>
        <v>-2500.678559574143</v>
      </c>
      <c r="AW15" s="7">
        <f>-'[1]Sales&amp;OpEx'!AW44</f>
        <v>-2518.1768835604171</v>
      </c>
      <c r="AX15" s="7">
        <f>-'[1]Sales&amp;OpEx'!AX44</f>
        <v>-2536.00712281496</v>
      </c>
      <c r="AY15" s="7">
        <f>-'[1]Sales&amp;OpEx'!AY44</f>
        <v>-2553.9789686782797</v>
      </c>
      <c r="AZ15" s="7">
        <f>-'[1]Sales&amp;OpEx'!AZ44</f>
        <v>-2550.6921307656257</v>
      </c>
      <c r="BA15" s="7">
        <f>-'[1]Sales&amp;OpEx'!BA44</f>
        <v>-2568.5404212316253</v>
      </c>
      <c r="BB15" s="7">
        <f>-'[1]Sales&amp;OpEx'!BB44</f>
        <v>-2586.7272652712591</v>
      </c>
      <c r="BC15" s="7">
        <f>-'[1]Sales&amp;OpEx'!BC44</f>
        <v>-2605.0585480518448</v>
      </c>
      <c r="BD15" s="7">
        <f>-'[1]Sales&amp;OpEx'!BD44</f>
        <v>-2601.8557082585339</v>
      </c>
      <c r="BE15" s="7">
        <f>-'[1]Sales&amp;OpEx'!BE44</f>
        <v>-2620.0122009185634</v>
      </c>
      <c r="BF15" s="7">
        <f>-'[1]Sales&amp;OpEx'!BF44</f>
        <v>-2638.5126964593846</v>
      </c>
      <c r="BG15" s="7">
        <f>-'[1]Sales&amp;OpEx'!BG44</f>
        <v>-2657.1597190128814</v>
      </c>
      <c r="BH15" s="7">
        <f>-'[1]Sales&amp;OpEx'!BH44</f>
        <v>-2653.7400928485563</v>
      </c>
      <c r="BI15" s="7">
        <f>-'[1]Sales&amp;OpEx'!BI44</f>
        <v>-2672.3094542493823</v>
      </c>
      <c r="BJ15" s="7">
        <f>-'[1]Sales&amp;OpEx'!BJ44</f>
        <v>-2691.2310467882176</v>
      </c>
      <c r="BK15" s="7">
        <f>-'[1]Sales&amp;OpEx'!BK44</f>
        <v>-2710.3029133931391</v>
      </c>
      <c r="BL15" s="7">
        <f>-'[1]Sales&amp;OpEx'!BL44</f>
        <v>-2706.814894705527</v>
      </c>
      <c r="BM15" s="7">
        <f>-'[1]Sales&amp;OpEx'!BM44</f>
        <v>-2725.7556433343698</v>
      </c>
      <c r="BN15" s="7">
        <f>-'[1]Sales&amp;OpEx'!BN44</f>
        <v>-2745.055667723982</v>
      </c>
      <c r="BO15" s="7">
        <f>-'[1]Sales&amp;OpEx'!BO44</f>
        <v>-2764.5089716610019</v>
      </c>
      <c r="BP15" s="7">
        <f>-'[1]Sales&amp;OpEx'!BP44</f>
        <v>-2760.9511925996376</v>
      </c>
      <c r="BQ15" s="7">
        <f>-'[1]Sales&amp;OpEx'!BQ44</f>
        <v>-2780.2707562010569</v>
      </c>
      <c r="BR15" s="7">
        <f>-'[1]Sales&amp;OpEx'!BR44</f>
        <v>-2799.9567810784611</v>
      </c>
      <c r="BS15" s="7">
        <f>-'[1]Sales&amp;OpEx'!BS44</f>
        <v>-2819.7991510942211</v>
      </c>
      <c r="BT15" s="7">
        <f>-'[1]Sales&amp;OpEx'!BT44</f>
        <v>-2816.3322942986142</v>
      </c>
      <c r="BU15" s="7">
        <f>-'[1]Sales&amp;OpEx'!BU44</f>
        <v>-2835.9854658666341</v>
      </c>
      <c r="BV15" s="7">
        <f>-'[1]Sales&amp;OpEx'!BV44</f>
        <v>-2856.0109972159553</v>
      </c>
      <c r="BW15" s="7">
        <f>-'[1]Sales&amp;OpEx'!BW44</f>
        <v>-2876.1951341161057</v>
      </c>
      <c r="BX15" s="7">
        <f>-'[1]Sales&amp;OpEx'!BX44</f>
        <v>-2872.4936207806622</v>
      </c>
      <c r="BY15" s="7">
        <f>-'[1]Sales&amp;OpEx'!BY44</f>
        <v>-2903.3804339010749</v>
      </c>
      <c r="BZ15" s="7">
        <f>-'[1]Sales&amp;OpEx'!BZ44</f>
        <v>-2934.8417763372863</v>
      </c>
      <c r="CA15" s="7">
        <f>-'[1]Sales&amp;OpEx'!CA44</f>
        <v>-2966.6618763641923</v>
      </c>
      <c r="CB15" s="7">
        <f>-'[1]Sales&amp;OpEx'!CB44</f>
        <v>-2973.8926455942201</v>
      </c>
      <c r="CC15" s="7">
        <f>-'[1]Sales&amp;OpEx'!CC44</f>
        <v>-3005.8697632177827</v>
      </c>
      <c r="CD15" s="7">
        <f>-'[1]Sales&amp;OpEx'!CD44</f>
        <v>-3038.4416910419923</v>
      </c>
      <c r="CE15" s="7">
        <f>-'[1]Sales&amp;OpEx'!CE44</f>
        <v>-3071.3850405998478</v>
      </c>
      <c r="CF15" s="7">
        <f>-'[1]Sales&amp;OpEx'!CF44</f>
        <v>-3078.8710559836954</v>
      </c>
      <c r="CG15" s="7">
        <f>-'[1]Sales&amp;OpEx'!CG44</f>
        <v>-3111.9769658593696</v>
      </c>
      <c r="CH15" s="7">
        <f>-'[1]Sales&amp;OpEx'!CH44</f>
        <v>-3145.6986827357741</v>
      </c>
      <c r="CI15" s="7">
        <f>-'[1]Sales&amp;OpEx'!CI44</f>
        <v>-3179.8049325330217</v>
      </c>
      <c r="CJ15" s="7">
        <f>-'[1]Sales&amp;OpEx'!CJ44</f>
        <v>-3187.7386562691877</v>
      </c>
      <c r="CK15" s="7">
        <f>-'[1]Sales&amp;OpEx'!CK44</f>
        <v>-3221.9539219296303</v>
      </c>
      <c r="CL15" s="7">
        <f>-'[1]Sales&amp;OpEx'!CL44</f>
        <v>-3256.8046563869084</v>
      </c>
      <c r="CM15" s="7">
        <f>-'[1]Sales&amp;OpEx'!CM44</f>
        <v>-3292.0520466514372</v>
      </c>
      <c r="CN15" s="7">
        <f>-'[1]Sales&amp;OpEx'!CN44</f>
        <v>-3300.0759029702945</v>
      </c>
      <c r="CO15" s="7">
        <f>-'[1]Sales&amp;OpEx'!CO44</f>
        <v>-3335.5603430264287</v>
      </c>
      <c r="CP15" s="7">
        <f>-'[1]Sales&amp;OpEx'!CP44</f>
        <v>-3371.7048334084893</v>
      </c>
      <c r="CQ15" s="7">
        <f>-'[1]Sales&amp;OpEx'!CQ44</f>
        <v>-3408.2614838982327</v>
      </c>
      <c r="CR15" s="7">
        <f>-'[1]Sales&amp;OpEx'!CR44</f>
        <v>-3416.5685823451449</v>
      </c>
      <c r="CS15" s="7">
        <f>-'[1]Sales&amp;OpEx'!CS44</f>
        <v>-3453.3056231352612</v>
      </c>
      <c r="CT15" s="7">
        <f>-'[1]Sales&amp;OpEx'!CT44</f>
        <v>-3490.7260140278086</v>
      </c>
      <c r="CU15" s="7">
        <f>-'[1]Sales&amp;OpEx'!CU44</f>
        <v>-3528.5731142798404</v>
      </c>
      <c r="CV15" s="7">
        <f>-'[1]Sales&amp;OpEx'!CV44</f>
        <v>-3537.1734533019285</v>
      </c>
      <c r="CW15" s="7">
        <f>-'[1]Sales&amp;OpEx'!CW44</f>
        <v>-3575.2073116319352</v>
      </c>
      <c r="CX15" s="7">
        <f>-'[1]Sales&amp;OpEx'!CX44</f>
        <v>-3613.9486423229901</v>
      </c>
      <c r="CY15" s="7">
        <f>-'[1]Sales&amp;OpEx'!CY44</f>
        <v>-3653.1317452139183</v>
      </c>
      <c r="CZ15" s="7">
        <f>-'[1]Sales&amp;OpEx'!CZ44</f>
        <v>-3662.2464357855993</v>
      </c>
      <c r="DA15" s="7">
        <f>-'[1]Sales&amp;OpEx'!DA44</f>
        <v>-3701.5547819914523</v>
      </c>
      <c r="DB15" s="7">
        <f>-'[1]Sales&amp;OpEx'!DB44</f>
        <v>-3741.5931890922566</v>
      </c>
      <c r="DC15" s="7">
        <f>-'[1]Sales&amp;OpEx'!DC44</f>
        <v>-3782.0872958199689</v>
      </c>
      <c r="DD15" s="7">
        <f>-'[1]Sales&amp;OpEx'!DD44</f>
        <v>-3791.3055355734687</v>
      </c>
      <c r="DE15" s="7">
        <f>-'[1]Sales&amp;OpEx'!DE44</f>
        <v>-3832.0719779121005</v>
      </c>
      <c r="DF15" s="7">
        <f>-'[1]Sales&amp;OpEx'!DF44</f>
        <v>-3873.5967217347038</v>
      </c>
      <c r="DG15" s="7">
        <f>-'[1]Sales&amp;OpEx'!DG44</f>
        <v>-3915.5949773624125</v>
      </c>
    </row>
    <row r="16" spans="2:112" ht="18" customHeight="1">
      <c r="B16" s="1" t="s">
        <v>133</v>
      </c>
      <c r="C16" s="2" t="s">
        <v>125</v>
      </c>
      <c r="D16" s="3" t="s">
        <v>144</v>
      </c>
      <c r="G16" s="9">
        <f t="shared" ref="G16:AL16" si="4">G12+G13+G14+G15</f>
        <v>0</v>
      </c>
      <c r="H16" s="9">
        <f t="shared" si="4"/>
        <v>0</v>
      </c>
      <c r="I16" s="9">
        <f t="shared" si="4"/>
        <v>0</v>
      </c>
      <c r="J16" s="9">
        <f t="shared" si="4"/>
        <v>0</v>
      </c>
      <c r="K16" s="9">
        <f t="shared" si="4"/>
        <v>0</v>
      </c>
      <c r="L16" s="9">
        <f t="shared" si="4"/>
        <v>0</v>
      </c>
      <c r="M16" s="9">
        <f t="shared" si="4"/>
        <v>0</v>
      </c>
      <c r="N16" s="9">
        <f t="shared" si="4"/>
        <v>0</v>
      </c>
      <c r="O16" s="9">
        <f t="shared" si="4"/>
        <v>0</v>
      </c>
      <c r="P16" s="9">
        <f t="shared" si="4"/>
        <v>0</v>
      </c>
      <c r="Q16" s="9">
        <f t="shared" si="4"/>
        <v>0</v>
      </c>
      <c r="R16" s="9">
        <f t="shared" si="4"/>
        <v>0</v>
      </c>
      <c r="S16" s="9">
        <f t="shared" si="4"/>
        <v>0</v>
      </c>
      <c r="T16" s="9">
        <f t="shared" si="4"/>
        <v>0</v>
      </c>
      <c r="U16" s="9">
        <f t="shared" si="4"/>
        <v>0</v>
      </c>
      <c r="V16" s="9">
        <f t="shared" si="4"/>
        <v>0</v>
      </c>
      <c r="W16" s="9">
        <f t="shared" si="4"/>
        <v>0</v>
      </c>
      <c r="X16" s="9">
        <f t="shared" si="4"/>
        <v>0</v>
      </c>
      <c r="Y16" s="9">
        <f t="shared" si="4"/>
        <v>0</v>
      </c>
      <c r="Z16" s="9">
        <f t="shared" si="4"/>
        <v>0</v>
      </c>
      <c r="AA16" s="9">
        <f t="shared" si="4"/>
        <v>0</v>
      </c>
      <c r="AB16" s="9">
        <f t="shared" si="4"/>
        <v>0</v>
      </c>
      <c r="AC16" s="9">
        <f t="shared" si="4"/>
        <v>0</v>
      </c>
      <c r="AD16" s="9">
        <f t="shared" si="4"/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>
        <f t="shared" si="4"/>
        <v>0</v>
      </c>
      <c r="AK16" s="9">
        <f t="shared" si="4"/>
        <v>-50273.092626689191</v>
      </c>
      <c r="AL16" s="9">
        <f t="shared" si="4"/>
        <v>-57990.435757285588</v>
      </c>
      <c r="AM16" s="9">
        <f t="shared" ref="AM16:BR16" si="5">AM12+AM13+AM14+AM15</f>
        <v>-55440.602240635752</v>
      </c>
      <c r="AN16" s="9">
        <f t="shared" si="5"/>
        <v>-53306.094598872784</v>
      </c>
      <c r="AO16" s="9">
        <f t="shared" si="5"/>
        <v>-52474.266392048339</v>
      </c>
      <c r="AP16" s="9">
        <f t="shared" si="5"/>
        <v>-59541.880914927402</v>
      </c>
      <c r="AQ16" s="9">
        <f t="shared" si="5"/>
        <v>-56977.262438635167</v>
      </c>
      <c r="AR16" s="9">
        <f t="shared" si="5"/>
        <v>-54516.540345550711</v>
      </c>
      <c r="AS16" s="9">
        <f t="shared" si="5"/>
        <v>-54197.839027044247</v>
      </c>
      <c r="AT16" s="9">
        <f t="shared" si="5"/>
        <v>-45639.760502319194</v>
      </c>
      <c r="AU16" s="9">
        <f t="shared" si="5"/>
        <v>-58626.444569298532</v>
      </c>
      <c r="AV16" s="9">
        <f t="shared" si="5"/>
        <v>-56021.703658517181</v>
      </c>
      <c r="AW16" s="9">
        <f t="shared" si="5"/>
        <v>-55521.814781503279</v>
      </c>
      <c r="AX16" s="9">
        <f t="shared" si="5"/>
        <v>-62132.047764289746</v>
      </c>
      <c r="AY16" s="9">
        <f t="shared" si="5"/>
        <v>-58996.851001963478</v>
      </c>
      <c r="AZ16" s="9">
        <f t="shared" si="5"/>
        <v>-57158.982693658021</v>
      </c>
      <c r="BA16" s="9">
        <f t="shared" si="5"/>
        <v>-56649.397284727223</v>
      </c>
      <c r="BB16" s="9">
        <f t="shared" si="5"/>
        <v>-46857.598311580121</v>
      </c>
      <c r="BC16" s="9">
        <f t="shared" si="5"/>
        <v>-60193.752424494356</v>
      </c>
      <c r="BD16" s="9">
        <f t="shared" si="5"/>
        <v>-58726.637441011619</v>
      </c>
      <c r="BE16" s="9">
        <f t="shared" si="5"/>
        <v>-57665.601990549279</v>
      </c>
      <c r="BF16" s="9">
        <f t="shared" si="5"/>
        <v>-64535.436485816026</v>
      </c>
      <c r="BG16" s="9">
        <f t="shared" si="5"/>
        <v>-61273.651189131866</v>
      </c>
      <c r="BH16" s="9">
        <f t="shared" si="5"/>
        <v>-59504.241782157434</v>
      </c>
      <c r="BI16" s="9">
        <f t="shared" si="5"/>
        <v>-58974.969735968385</v>
      </c>
      <c r="BJ16" s="9">
        <f t="shared" si="5"/>
        <v>-48775.310641058844</v>
      </c>
      <c r="BK16" s="9">
        <f t="shared" si="5"/>
        <v>-62662.698379882298</v>
      </c>
      <c r="BL16" s="9">
        <f t="shared" si="5"/>
        <v>-60714.251860564545</v>
      </c>
      <c r="BM16" s="9">
        <f t="shared" si="5"/>
        <v>-60174.767534733553</v>
      </c>
      <c r="BN16" s="9">
        <f t="shared" si="5"/>
        <v>-67328.973526553717</v>
      </c>
      <c r="BO16" s="9">
        <f t="shared" si="5"/>
        <v>-63936.145105126088</v>
      </c>
      <c r="BP16" s="9">
        <f t="shared" si="5"/>
        <v>-61949.362320185624</v>
      </c>
      <c r="BQ16" s="9">
        <f t="shared" si="5"/>
        <v>-61399.537884583762</v>
      </c>
      <c r="BR16" s="9">
        <f t="shared" si="5"/>
        <v>-50773.811853890395</v>
      </c>
      <c r="BS16" s="9">
        <f t="shared" ref="BS16:CX16" si="6">BS12+BS13+BS14+BS15</f>
        <v>-65236.173239128897</v>
      </c>
      <c r="BT16" s="9">
        <f t="shared" si="6"/>
        <v>-63614.350734902684</v>
      </c>
      <c r="BU16" s="9">
        <f t="shared" si="6"/>
        <v>-62466.705091952637</v>
      </c>
      <c r="BV16" s="9">
        <f t="shared" si="6"/>
        <v>-69901.576743147918</v>
      </c>
      <c r="BW16" s="9">
        <f t="shared" si="6"/>
        <v>-66371.799388797823</v>
      </c>
      <c r="BX16" s="9">
        <f t="shared" si="6"/>
        <v>-64421.626308819221</v>
      </c>
      <c r="BY16" s="9">
        <f t="shared" si="6"/>
        <v>-63860.097445395782</v>
      </c>
      <c r="BZ16" s="9">
        <f t="shared" si="6"/>
        <v>-52825.00361691232</v>
      </c>
      <c r="CA16" s="9">
        <f t="shared" si="6"/>
        <v>-67872.317205195883</v>
      </c>
      <c r="CB16" s="9">
        <f t="shared" si="6"/>
        <v>-65738.669255124274</v>
      </c>
      <c r="CC16" s="9">
        <f t="shared" si="6"/>
        <v>-65166.280679437696</v>
      </c>
      <c r="CD16" s="9">
        <f t="shared" si="6"/>
        <v>-72919.237986531618</v>
      </c>
      <c r="CE16" s="9">
        <f t="shared" si="6"/>
        <v>-69258.993123063716</v>
      </c>
      <c r="CF16" s="9">
        <f t="shared" si="6"/>
        <v>-67083.411915699049</v>
      </c>
      <c r="CG16" s="9">
        <f t="shared" si="6"/>
        <v>-66499.823323843841</v>
      </c>
      <c r="CH16" s="9">
        <f t="shared" si="6"/>
        <v>-55028.995011345651</v>
      </c>
      <c r="CI16" s="9">
        <f t="shared" si="6"/>
        <v>-70674.369447620091</v>
      </c>
      <c r="CJ16" s="9">
        <f t="shared" si="6"/>
        <v>-68932.901967183789</v>
      </c>
      <c r="CK16" s="9">
        <f t="shared" si="6"/>
        <v>-67703.628963434196</v>
      </c>
      <c r="CL16" s="9">
        <f t="shared" si="6"/>
        <v>-75760.998138184514</v>
      </c>
      <c r="CM16" s="9">
        <f t="shared" si="6"/>
        <v>-71953.687647587794</v>
      </c>
      <c r="CN16" s="9">
        <f t="shared" si="6"/>
        <v>-69804.245441502513</v>
      </c>
      <c r="CO16" s="9">
        <f t="shared" si="6"/>
        <v>-69196.883609771656</v>
      </c>
      <c r="CP16" s="9">
        <f t="shared" si="6"/>
        <v>-57290.36042347279</v>
      </c>
      <c r="CQ16" s="9">
        <f t="shared" si="6"/>
        <v>-73539.207592062361</v>
      </c>
      <c r="CR16" s="9">
        <f t="shared" si="6"/>
        <v>-71180.696172817319</v>
      </c>
      <c r="CS16" s="9">
        <f t="shared" si="6"/>
        <v>-70560.684395614051</v>
      </c>
      <c r="CT16" s="9">
        <f t="shared" si="6"/>
        <v>-78949.31262757018</v>
      </c>
      <c r="CU16" s="9">
        <f t="shared" si="6"/>
        <v>-74988.887300397779</v>
      </c>
      <c r="CV16" s="9">
        <f t="shared" si="6"/>
        <v>-72586.066483503222</v>
      </c>
      <c r="CW16" s="9">
        <f t="shared" si="6"/>
        <v>-71953.166411657934</v>
      </c>
      <c r="CX16" s="9">
        <f t="shared" si="6"/>
        <v>-59611.295735275497</v>
      </c>
      <c r="CY16" s="9">
        <f t="shared" ref="CY16:DG16" si="7">CY12+CY13+CY14+CY15</f>
        <v>-76468.98566292692</v>
      </c>
      <c r="CZ16" s="9">
        <f t="shared" si="7"/>
        <v>-74534.685993084815</v>
      </c>
      <c r="DA16" s="9">
        <f t="shared" si="7"/>
        <v>-73205.2614377516</v>
      </c>
      <c r="DB16" s="9">
        <f t="shared" si="7"/>
        <v>-81921.67830467406</v>
      </c>
      <c r="DC16" s="9">
        <f t="shared" si="7"/>
        <v>-77801.736023467209</v>
      </c>
      <c r="DD16" s="9">
        <f t="shared" si="7"/>
        <v>-75486.11741857887</v>
      </c>
      <c r="DE16" s="9">
        <f t="shared" si="7"/>
        <v>-74826.708970817883</v>
      </c>
      <c r="DF16" s="9">
        <f t="shared" si="7"/>
        <v>-62032.462536545419</v>
      </c>
      <c r="DG16" s="9">
        <f t="shared" si="7"/>
        <v>-79523.117006533663</v>
      </c>
    </row>
    <row r="17" spans="2:111" ht="18" customHeight="1">
      <c r="B17" s="3" t="s">
        <v>134</v>
      </c>
      <c r="C17" s="4" t="s">
        <v>125</v>
      </c>
      <c r="D17" s="13" t="s">
        <v>141</v>
      </c>
      <c r="G17" s="7">
        <f>[1]Ratios!G11+[1]Ratios!G12</f>
        <v>-73.853615825933943</v>
      </c>
      <c r="H17" s="7">
        <f>[1]Ratios!H11+[1]Ratios!H12</f>
        <v>-49.259592399787721</v>
      </c>
      <c r="I17" s="7">
        <f>[1]Ratios!I11+[1]Ratios!I12</f>
        <v>-68.827173614122557</v>
      </c>
      <c r="J17" s="7">
        <f>[1]Ratios!J11+[1]Ratios!J12</f>
        <v>-300.92832207452545</v>
      </c>
      <c r="K17" s="7">
        <f>[1]Ratios!K11+[1]Ratios!K12</f>
        <v>-182.42161905435893</v>
      </c>
      <c r="L17" s="7">
        <f>[1]Ratios!L11+[1]Ratios!L12</f>
        <v>-157.90684721623302</v>
      </c>
      <c r="M17" s="7">
        <f>[1]Ratios!M11+[1]Ratios!M12</f>
        <v>-200.29846257810186</v>
      </c>
      <c r="N17" s="7">
        <f>[1]Ratios!N11+[1]Ratios!N12</f>
        <v>-445.65270920431954</v>
      </c>
      <c r="O17" s="7">
        <f>[1]Ratios!O11+[1]Ratios!O12</f>
        <v>-571.08753128462706</v>
      </c>
      <c r="P17" s="7">
        <f>[1]Ratios!P11+[1]Ratios!P12</f>
        <v>-315.63891195500196</v>
      </c>
      <c r="Q17" s="7">
        <f>[1]Ratios!Q11+[1]Ratios!Q12</f>
        <v>-693.17534389650177</v>
      </c>
      <c r="R17" s="7">
        <f>[1]Ratios!R11+[1]Ratios!R12</f>
        <v>-647.32141036491998</v>
      </c>
      <c r="S17" s="7">
        <f>[1]Ratios!S11+[1]Ratios!S12</f>
        <v>-1025.3097203872301</v>
      </c>
      <c r="T17" s="7">
        <f>[1]Ratios!T11+[1]Ratios!T12</f>
        <v>-729.31276503584218</v>
      </c>
      <c r="U17" s="7">
        <f>[1]Ratios!U11+[1]Ratios!U12</f>
        <v>-539.84225164551458</v>
      </c>
      <c r="V17" s="7">
        <f>[1]Ratios!V11+[1]Ratios!V12</f>
        <v>-465.07791085754116</v>
      </c>
      <c r="W17" s="7">
        <f>[1]Ratios!W11+[1]Ratios!W12</f>
        <v>-1193.0477785745873</v>
      </c>
      <c r="X17" s="7">
        <f>[1]Ratios!X11+[1]Ratios!X12</f>
        <v>-393.14340787547394</v>
      </c>
      <c r="Y17" s="7">
        <f>[1]Ratios!Y11+[1]Ratios!Y12</f>
        <v>-696.2085939889007</v>
      </c>
      <c r="Z17" s="7">
        <f>[1]Ratios!Z11+[1]Ratios!Z12</f>
        <v>-566.59053834432962</v>
      </c>
      <c r="AA17" s="7">
        <f>[1]Ratios!AA11+[1]Ratios!AA12</f>
        <v>-714.77900654352834</v>
      </c>
      <c r="AB17" s="7">
        <f>[1]Ratios!AB11+[1]Ratios!AB12</f>
        <v>-782.40401744502742</v>
      </c>
      <c r="AC17" s="7">
        <f>[1]Ratios!AC11+[1]Ratios!AC12</f>
        <v>-1155.9545677701808</v>
      </c>
      <c r="AD17" s="7">
        <f>[1]Ratios!AD11+[1]Ratios!AD12</f>
        <v>-1226.9492035353057</v>
      </c>
      <c r="AE17" s="7">
        <f>[1]Ratios!AE11+[1]Ratios!AE12</f>
        <v>-1933.9552215619995</v>
      </c>
      <c r="AF17" s="7">
        <f>[1]Ratios!AF11+[1]Ratios!AF12</f>
        <v>-1669.2601211539406</v>
      </c>
      <c r="AG17" s="7">
        <f>[1]Ratios!AG11+[1]Ratios!AG12</f>
        <v>-1797.2971371623084</v>
      </c>
      <c r="AH17" s="7">
        <f>[1]Ratios!AH11+[1]Ratios!AH12</f>
        <v>-1066.2417595450577</v>
      </c>
      <c r="AI17" s="7">
        <f>[1]Ratios!AI11+[1]Ratios!AI12</f>
        <v>-1202.9362726998595</v>
      </c>
      <c r="AJ17" s="7">
        <f>[1]Ratios!AJ11+[1]Ratios!AJ12</f>
        <v>-971.64616060012395</v>
      </c>
      <c r="AK17" s="7">
        <f>[1]Ratios!AK11+[1]Ratios!AK12</f>
        <v>-7458.0201756708448</v>
      </c>
      <c r="AL17" s="7">
        <f>[1]Ratios!AL11+[1]Ratios!AL12</f>
        <v>-7792.8937810801599</v>
      </c>
      <c r="AM17" s="7">
        <f>[1]Ratios!AM11+[1]Ratios!AM12</f>
        <v>-7040.2729477629637</v>
      </c>
      <c r="AN17" s="7">
        <f>[1]Ratios!AN11+[1]Ratios!AN12</f>
        <v>-7317.0567642841997</v>
      </c>
      <c r="AO17" s="7">
        <f>[1]Ratios!AO11+[1]Ratios!AO12</f>
        <v>-8033.0071043502521</v>
      </c>
      <c r="AP17" s="7">
        <f>[1]Ratios!AP11+[1]Ratios!AP12</f>
        <v>-8378.3102201787151</v>
      </c>
      <c r="AQ17" s="7">
        <f>[1]Ratios!AQ11+[1]Ratios!AQ12</f>
        <v>-7624.5362584560007</v>
      </c>
      <c r="AR17" s="7">
        <f>[1]Ratios!AR11+[1]Ratios!AR12</f>
        <v>-7443.9559031139397</v>
      </c>
      <c r="AS17" s="7">
        <f>[1]Ratios!AS11+[1]Ratios!AS12</f>
        <v>-8199.5887444958553</v>
      </c>
      <c r="AT17" s="7">
        <f>[1]Ratios!AT11+[1]Ratios!AT12</f>
        <v>-8021.411464090821</v>
      </c>
      <c r="AU17" s="7">
        <f>[1]Ratios!AU11+[1]Ratios!AU12</f>
        <v>-8147.9908383762777</v>
      </c>
      <c r="AV17" s="7">
        <f>[1]Ratios!AV11+[1]Ratios!AV12</f>
        <v>-7981.5733327388307</v>
      </c>
      <c r="AW17" s="7">
        <f>[1]Ratios!AW11+[1]Ratios!AW12</f>
        <v>-8697.1666152729576</v>
      </c>
      <c r="AX17" s="7">
        <f>[1]Ratios!AX11+[1]Ratios!AX12</f>
        <v>-9274.63023012134</v>
      </c>
      <c r="AY17" s="7">
        <f>[1]Ratios!AY11+[1]Ratios!AY12</f>
        <v>-8327.7633722461705</v>
      </c>
      <c r="AZ17" s="7">
        <f>[1]Ratios!AZ11+[1]Ratios!AZ12</f>
        <v>-8123.5930102460898</v>
      </c>
      <c r="BA17" s="7">
        <f>[1]Ratios!BA11+[1]Ratios!BA12</f>
        <v>-8853.7164340079835</v>
      </c>
      <c r="BB17" s="7">
        <f>[1]Ratios!BB11+[1]Ratios!BB12</f>
        <v>-8293.9619294177719</v>
      </c>
      <c r="BC17" s="7">
        <f>[1]Ratios!BC11+[1]Ratios!BC12</f>
        <v>-8477.2159610123472</v>
      </c>
      <c r="BD17" s="7">
        <f>[1]Ratios!BD11+[1]Ratios!BD12</f>
        <v>-10664.090355938117</v>
      </c>
      <c r="BE17" s="7">
        <f>[1]Ratios!BE11+[1]Ratios!BE12</f>
        <v>-11346.665891363631</v>
      </c>
      <c r="BF17" s="7">
        <f>[1]Ratios!BF11+[1]Ratios!BF12</f>
        <v>-11924.228676614555</v>
      </c>
      <c r="BG17" s="7">
        <f>[1]Ratios!BG11+[1]Ratios!BG12</f>
        <v>-10915.707285315908</v>
      </c>
      <c r="BH17" s="7">
        <f>[1]Ratios!BH11+[1]Ratios!BH12</f>
        <v>-10686.495137928861</v>
      </c>
      <c r="BI17" s="7">
        <f>[1]Ratios!BI11+[1]Ratios!BI12</f>
        <v>-11423.045607496302</v>
      </c>
      <c r="BJ17" s="7">
        <f>[1]Ratios!BJ11+[1]Ratios!BJ12</f>
        <v>-10815.843115454252</v>
      </c>
      <c r="BK17" s="7">
        <f>[1]Ratios!BK11+[1]Ratios!BK12</f>
        <v>-10996.435531893096</v>
      </c>
      <c r="BL17" s="7">
        <f>[1]Ratios!BL11+[1]Ratios!BL12</f>
        <v>-10752.840099890298</v>
      </c>
      <c r="BM17" s="7">
        <f>[1]Ratios!BM11+[1]Ratios!BM12</f>
        <v>-11504.680375854454</v>
      </c>
      <c r="BN17" s="7">
        <f>[1]Ratios!BN11+[1]Ratios!BN12</f>
        <v>-12107.013976117963</v>
      </c>
      <c r="BO17" s="7">
        <f>[1]Ratios!BO11+[1]Ratios!BO12</f>
        <v>-11058.819814622626</v>
      </c>
      <c r="BP17" s="7">
        <f>[1]Ratios!BP11+[1]Ratios!BP12</f>
        <v>-10812.47006386441</v>
      </c>
      <c r="BQ17" s="7">
        <f>[1]Ratios!BQ11+[1]Ratios!BQ12</f>
        <v>-11580.009993756265</v>
      </c>
      <c r="BR17" s="7">
        <f>[1]Ratios!BR11+[1]Ratios!BR12</f>
        <v>-10941.343290587945</v>
      </c>
      <c r="BS17" s="7">
        <f>[1]Ratios!BS11+[1]Ratios!BS12</f>
        <v>-11138.025413484249</v>
      </c>
      <c r="BT17" s="7">
        <f>[1]Ratios!BT11+[1]Ratios!BT12</f>
        <v>-10911.172153115853</v>
      </c>
      <c r="BU17" s="7">
        <f>[1]Ratios!BU11+[1]Ratios!BU12</f>
        <v>-11651.961909167103</v>
      </c>
      <c r="BV17" s="7">
        <f>[1]Ratios!BV11+[1]Ratios!BV12</f>
        <v>-12279.559277988528</v>
      </c>
      <c r="BW17" s="7">
        <f>[1]Ratios!BW11+[1]Ratios!BW12</f>
        <v>-11189.858134815466</v>
      </c>
      <c r="BX17" s="7">
        <f>[1]Ratios!BX11+[1]Ratios!BX12</f>
        <v>-17470.731619434795</v>
      </c>
      <c r="BY17" s="7">
        <f>[1]Ratios!BY11+[1]Ratios!BY12</f>
        <v>-18190.012589878002</v>
      </c>
      <c r="BZ17" s="7">
        <f>[1]Ratios!BZ11+[1]Ratios!BZ12</f>
        <v>-17462.152551904393</v>
      </c>
      <c r="CA17" s="7">
        <f>[1]Ratios!CA11+[1]Ratios!CA12</f>
        <v>-17611.545272330695</v>
      </c>
      <c r="CB17" s="7">
        <f>[1]Ratios!CB11+[1]Ratios!CB12</f>
        <v>-17262.221839595757</v>
      </c>
      <c r="CC17" s="7">
        <f>[1]Ratios!CC11+[1]Ratios!CC12</f>
        <v>-17997.633592010781</v>
      </c>
      <c r="CD17" s="7">
        <f>[1]Ratios!CD11+[1]Ratios!CD12</f>
        <v>-18571.220613142748</v>
      </c>
      <c r="CE17" s="7">
        <f>[1]Ratios!CE11+[1]Ratios!CE12</f>
        <v>-17357.867424697011</v>
      </c>
      <c r="CF17" s="7">
        <f>[1]Ratios!CF11+[1]Ratios!CF12</f>
        <v>-17003.574679808789</v>
      </c>
      <c r="CG17" s="7">
        <f>[1]Ratios!CG11+[1]Ratios!CG12</f>
        <v>-17755.889084064729</v>
      </c>
      <c r="CH17" s="7">
        <f>[1]Ratios!CH11+[1]Ratios!CH12</f>
        <v>-16998.155318422003</v>
      </c>
      <c r="CI17" s="7">
        <f>[1]Ratios!CI11+[1]Ratios!CI12</f>
        <v>-17161.862510689036</v>
      </c>
      <c r="CJ17" s="7">
        <f>[1]Ratios!CJ11+[1]Ratios!CJ12</f>
        <v>-16837.519877639039</v>
      </c>
      <c r="CK17" s="7">
        <f>[1]Ratios!CK11+[1]Ratios!CK12</f>
        <v>-17560.239380227576</v>
      </c>
      <c r="CL17" s="7">
        <f>[1]Ratios!CL11+[1]Ratios!CL12</f>
        <v>-18160.739539557653</v>
      </c>
      <c r="CM17" s="7">
        <f>[1]Ratios!CM11+[1]Ratios!CM12</f>
        <v>-16902.081156102409</v>
      </c>
      <c r="CN17" s="7">
        <f>[1]Ratios!CN11+[1]Ratios!CN12</f>
        <v>-16541.92426538208</v>
      </c>
      <c r="CO17" s="7">
        <f>[1]Ratios!CO11+[1]Ratios!CO12</f>
        <v>-17328.505312032263</v>
      </c>
      <c r="CP17" s="7">
        <f>[1]Ratios!CP11+[1]Ratios!CP12</f>
        <v>-16541.704851169234</v>
      </c>
      <c r="CQ17" s="7">
        <f>[1]Ratios!CQ11+[1]Ratios!CQ12</f>
        <v>-16718.155997052236</v>
      </c>
      <c r="CR17" s="7">
        <f>[1]Ratios!CR11+[1]Ratios!CR12</f>
        <v>-16340.387124554407</v>
      </c>
      <c r="CS17" s="7">
        <f>[1]Ratios!CS11+[1]Ratios!CS12</f>
        <v>-17144.322566457777</v>
      </c>
      <c r="CT17" s="7">
        <f>[1]Ratios!CT11+[1]Ratios!CT12</f>
        <v>-17773.096406319404</v>
      </c>
      <c r="CU17" s="7">
        <f>[1]Ratios!CU11+[1]Ratios!CU12</f>
        <v>-16467.471745428717</v>
      </c>
      <c r="CV17" s="7">
        <f>[1]Ratios!CV11+[1]Ratios!CV12</f>
        <v>-16084.263549048475</v>
      </c>
      <c r="CW17" s="7">
        <f>[1]Ratios!CW11+[1]Ratios!CW12</f>
        <v>-16906.384004096562</v>
      </c>
      <c r="CX17" s="7">
        <f>[1]Ratios!CX11+[1]Ratios!CX12</f>
        <v>-16091.560498395096</v>
      </c>
      <c r="CY17" s="7">
        <f>[1]Ratios!CY11+[1]Ratios!CY12</f>
        <v>-16278.903946279668</v>
      </c>
      <c r="CZ17" s="7">
        <f>[1]Ratios!CZ11+[1]Ratios!CZ12</f>
        <v>-15927.470745564387</v>
      </c>
      <c r="DA17" s="7">
        <f>[1]Ratios!DA11+[1]Ratios!DA12</f>
        <v>-16717.440575885023</v>
      </c>
      <c r="DB17" s="7">
        <f>[1]Ratios!DB11+[1]Ratios!DB12</f>
        <v>-17375.116258488619</v>
      </c>
      <c r="DC17" s="7">
        <f>[1]Ratios!DC11+[1]Ratios!DC12</f>
        <v>-16020.378943842641</v>
      </c>
      <c r="DD17" s="7">
        <f>[1]Ratios!DD11+[1]Ratios!DD12</f>
        <v>-15638.248357822569</v>
      </c>
      <c r="DE17" s="7">
        <f>[1]Ratios!DE11+[1]Ratios!DE12</f>
        <v>-16497.343977222783</v>
      </c>
      <c r="DF17" s="7">
        <f>[1]Ratios!DF11+[1]Ratios!DF12</f>
        <v>-15653.365346941569</v>
      </c>
      <c r="DG17" s="7">
        <f>[1]Ratios!DG11+[1]Ratios!DG12</f>
        <v>-15852.04119636723</v>
      </c>
    </row>
    <row r="18" spans="2:111" ht="18" customHeight="1">
      <c r="B18" s="1" t="s">
        <v>0</v>
      </c>
      <c r="C18" s="2" t="s">
        <v>125</v>
      </c>
      <c r="D18" s="3" t="s">
        <v>145</v>
      </c>
      <c r="G18" s="10">
        <f t="shared" ref="G18:AL18" si="8">G9+G16+G17</f>
        <v>-73.853615825933943</v>
      </c>
      <c r="H18" s="10">
        <f t="shared" si="8"/>
        <v>-49.259592399787721</v>
      </c>
      <c r="I18" s="10">
        <f t="shared" si="8"/>
        <v>-68.827173614122557</v>
      </c>
      <c r="J18" s="10">
        <f t="shared" si="8"/>
        <v>-300.92832207452545</v>
      </c>
      <c r="K18" s="10">
        <f t="shared" si="8"/>
        <v>-182.42161905435893</v>
      </c>
      <c r="L18" s="10">
        <f t="shared" si="8"/>
        <v>-157.90684721623302</v>
      </c>
      <c r="M18" s="10">
        <f t="shared" si="8"/>
        <v>-200.29846257810186</v>
      </c>
      <c r="N18" s="10">
        <f t="shared" si="8"/>
        <v>-445.65270920431954</v>
      </c>
      <c r="O18" s="10">
        <f t="shared" si="8"/>
        <v>-571.08753128462706</v>
      </c>
      <c r="P18" s="10">
        <f t="shared" si="8"/>
        <v>-315.63891195500196</v>
      </c>
      <c r="Q18" s="10">
        <f t="shared" si="8"/>
        <v>-693.17534389650177</v>
      </c>
      <c r="R18" s="10">
        <f t="shared" si="8"/>
        <v>-647.32141036491998</v>
      </c>
      <c r="S18" s="10">
        <f t="shared" si="8"/>
        <v>-1025.3097203872301</v>
      </c>
      <c r="T18" s="10">
        <f t="shared" si="8"/>
        <v>-729.31276503584218</v>
      </c>
      <c r="U18" s="10">
        <f t="shared" si="8"/>
        <v>-539.84225164551458</v>
      </c>
      <c r="V18" s="10">
        <f t="shared" si="8"/>
        <v>-465.07791085754116</v>
      </c>
      <c r="W18" s="10">
        <f t="shared" si="8"/>
        <v>-1193.0477785745873</v>
      </c>
      <c r="X18" s="10">
        <f t="shared" si="8"/>
        <v>-393.14340787547394</v>
      </c>
      <c r="Y18" s="10">
        <f t="shared" si="8"/>
        <v>-696.2085939889007</v>
      </c>
      <c r="Z18" s="10">
        <f t="shared" si="8"/>
        <v>-566.59053834432962</v>
      </c>
      <c r="AA18" s="10">
        <f t="shared" si="8"/>
        <v>-714.77900654352834</v>
      </c>
      <c r="AB18" s="10">
        <f t="shared" si="8"/>
        <v>-782.40401744502742</v>
      </c>
      <c r="AC18" s="10">
        <f t="shared" si="8"/>
        <v>-1155.9545677701808</v>
      </c>
      <c r="AD18" s="10">
        <f t="shared" si="8"/>
        <v>-1226.9492035353057</v>
      </c>
      <c r="AE18" s="10">
        <f t="shared" si="8"/>
        <v>-1933.9552215619995</v>
      </c>
      <c r="AF18" s="10">
        <f t="shared" si="8"/>
        <v>-1669.2601211539406</v>
      </c>
      <c r="AG18" s="10">
        <f t="shared" si="8"/>
        <v>-1797.2971371623084</v>
      </c>
      <c r="AH18" s="10">
        <f t="shared" si="8"/>
        <v>-1066.2417595450577</v>
      </c>
      <c r="AI18" s="10">
        <f t="shared" si="8"/>
        <v>-1202.9362726998595</v>
      </c>
      <c r="AJ18" s="10">
        <f t="shared" si="8"/>
        <v>-971.64616060012395</v>
      </c>
      <c r="AK18" s="10">
        <f t="shared" si="8"/>
        <v>68269.856835543396</v>
      </c>
      <c r="AL18" s="10">
        <f t="shared" si="8"/>
        <v>62239.681326860577</v>
      </c>
      <c r="AM18" s="10">
        <f t="shared" ref="AM18:BR18" si="9">AM9+AM16+AM17</f>
        <v>66182.740378018556</v>
      </c>
      <c r="AN18" s="10">
        <f t="shared" si="9"/>
        <v>92519.768838890333</v>
      </c>
      <c r="AO18" s="10">
        <f t="shared" si="9"/>
        <v>93391.521094594966</v>
      </c>
      <c r="AP18" s="10">
        <f t="shared" si="9"/>
        <v>88446.211562399985</v>
      </c>
      <c r="AQ18" s="10">
        <f t="shared" si="9"/>
        <v>92544.890953024675</v>
      </c>
      <c r="AR18" s="10">
        <f t="shared" si="9"/>
        <v>96851.252546214615</v>
      </c>
      <c r="AS18" s="10">
        <f t="shared" si="9"/>
        <v>98973.636555019679</v>
      </c>
      <c r="AT18" s="10">
        <f t="shared" si="9"/>
        <v>56834.094892049667</v>
      </c>
      <c r="AU18" s="10">
        <f t="shared" si="9"/>
        <v>98006.71384635687</v>
      </c>
      <c r="AV18" s="10">
        <f t="shared" si="9"/>
        <v>102632.33963842224</v>
      </c>
      <c r="AW18" s="10">
        <f t="shared" si="9"/>
        <v>105102.03555754878</v>
      </c>
      <c r="AX18" s="10">
        <f t="shared" si="9"/>
        <v>100631.57262817689</v>
      </c>
      <c r="AY18" s="10">
        <f t="shared" si="9"/>
        <v>105574.48549249984</v>
      </c>
      <c r="AZ18" s="10">
        <f t="shared" si="9"/>
        <v>105362.97976066473</v>
      </c>
      <c r="BA18" s="10">
        <f t="shared" si="9"/>
        <v>107892.46385582752</v>
      </c>
      <c r="BB18" s="10">
        <f t="shared" si="9"/>
        <v>63577.226088415016</v>
      </c>
      <c r="BC18" s="10">
        <f t="shared" si="9"/>
        <v>108388.79550427254</v>
      </c>
      <c r="BD18" s="10">
        <f t="shared" si="9"/>
        <v>106678.31023720316</v>
      </c>
      <c r="BE18" s="10">
        <f t="shared" si="9"/>
        <v>107925.80201059047</v>
      </c>
      <c r="BF18" s="10">
        <f t="shared" si="9"/>
        <v>103315.42380340464</v>
      </c>
      <c r="BG18" s="10">
        <f t="shared" si="9"/>
        <v>108482.82957344319</v>
      </c>
      <c r="BH18" s="10">
        <f t="shared" si="9"/>
        <v>108467.71181395371</v>
      </c>
      <c r="BI18" s="10">
        <f t="shared" si="9"/>
        <v>111139.58651482903</v>
      </c>
      <c r="BJ18" s="10">
        <f t="shared" si="9"/>
        <v>64712.703604087379</v>
      </c>
      <c r="BK18" s="10">
        <f t="shared" si="9"/>
        <v>111714.71109487857</v>
      </c>
      <c r="BL18" s="10">
        <f t="shared" si="9"/>
        <v>111343.69340293801</v>
      </c>
      <c r="BM18" s="10">
        <f t="shared" si="9"/>
        <v>114077.40716042792</v>
      </c>
      <c r="BN18" s="10">
        <f t="shared" si="9"/>
        <v>109301.86065348361</v>
      </c>
      <c r="BO18" s="10">
        <f t="shared" si="9"/>
        <v>114687.29433878859</v>
      </c>
      <c r="BP18" s="10">
        <f t="shared" si="9"/>
        <v>114301.82720445379</v>
      </c>
      <c r="BQ18" s="10">
        <f t="shared" si="9"/>
        <v>117098.71820515434</v>
      </c>
      <c r="BR18" s="10">
        <f t="shared" si="9"/>
        <v>68436.733129534943</v>
      </c>
      <c r="BS18" s="10">
        <f t="shared" ref="BS18:CX18" si="10">BS9+BS16+BS17</f>
        <v>117720.79145086798</v>
      </c>
      <c r="BT18" s="10">
        <f t="shared" si="10"/>
        <v>118190.10765888946</v>
      </c>
      <c r="BU18" s="10">
        <f t="shared" si="10"/>
        <v>119548.15873840857</v>
      </c>
      <c r="BV18" s="10">
        <f t="shared" si="10"/>
        <v>114590.93710143655</v>
      </c>
      <c r="BW18" s="10">
        <f t="shared" si="10"/>
        <v>120192.33165411471</v>
      </c>
      <c r="BX18" s="10">
        <f t="shared" si="10"/>
        <v>113357.21209270188</v>
      </c>
      <c r="BY18" s="10">
        <f t="shared" si="10"/>
        <v>116345.98573645629</v>
      </c>
      <c r="BZ18" s="10">
        <f t="shared" si="10"/>
        <v>65560.181998399945</v>
      </c>
      <c r="CA18" s="10">
        <f t="shared" si="10"/>
        <v>117104.72925798636</v>
      </c>
      <c r="CB18" s="10">
        <f t="shared" si="10"/>
        <v>116476.63116360246</v>
      </c>
      <c r="CC18" s="10">
        <f t="shared" si="10"/>
        <v>119528.26889710843</v>
      </c>
      <c r="CD18" s="10">
        <f t="shared" si="10"/>
        <v>114454.49279757736</v>
      </c>
      <c r="CE18" s="10">
        <f t="shared" si="10"/>
        <v>120358.60327971735</v>
      </c>
      <c r="CF18" s="10">
        <f t="shared" si="10"/>
        <v>119711.15326193605</v>
      </c>
      <c r="CG18" s="10">
        <f t="shared" si="10"/>
        <v>122826.71685899471</v>
      </c>
      <c r="CH18" s="10">
        <f t="shared" si="10"/>
        <v>69767.962561351393</v>
      </c>
      <c r="CI18" s="10">
        <f t="shared" si="10"/>
        <v>123622.25241943041</v>
      </c>
      <c r="CJ18" s="10">
        <f t="shared" si="10"/>
        <v>124189.88931686626</v>
      </c>
      <c r="CK18" s="10">
        <f t="shared" si="10"/>
        <v>125732.75335522299</v>
      </c>
      <c r="CL18" s="10">
        <f t="shared" si="10"/>
        <v>120457.99677088598</v>
      </c>
      <c r="CM18" s="10">
        <f t="shared" si="10"/>
        <v>126593.74602492058</v>
      </c>
      <c r="CN18" s="10">
        <f t="shared" si="10"/>
        <v>126031.57947910987</v>
      </c>
      <c r="CO18" s="10">
        <f t="shared" si="10"/>
        <v>129274.9135462975</v>
      </c>
      <c r="CP18" s="10">
        <f t="shared" si="10"/>
        <v>73932.418456439103</v>
      </c>
      <c r="CQ18" s="10">
        <f t="shared" si="10"/>
        <v>130103.21963230177</v>
      </c>
      <c r="CR18" s="10">
        <f t="shared" si="10"/>
        <v>129104.2208723427</v>
      </c>
      <c r="CS18" s="10">
        <f t="shared" si="10"/>
        <v>132411.30155539163</v>
      </c>
      <c r="CT18" s="10">
        <f t="shared" si="10"/>
        <v>126926.28698747573</v>
      </c>
      <c r="CU18" s="10">
        <f t="shared" si="10"/>
        <v>133311.43584001818</v>
      </c>
      <c r="CV18" s="10">
        <f t="shared" si="10"/>
        <v>132287.48022055699</v>
      </c>
      <c r="CW18" s="10">
        <f t="shared" si="10"/>
        <v>135659.08427205821</v>
      </c>
      <c r="CX18" s="10">
        <f t="shared" si="10"/>
        <v>78031.312640146207</v>
      </c>
      <c r="CY18" s="10">
        <f t="shared" ref="CY18:DG18" si="11">CY9+CY16+CY17</f>
        <v>136515.26117435499</v>
      </c>
      <c r="CZ18" s="10">
        <f t="shared" si="11"/>
        <v>136805.63638637034</v>
      </c>
      <c r="DA18" s="10">
        <f t="shared" si="11"/>
        <v>138466.82696459044</v>
      </c>
      <c r="DB18" s="10">
        <f t="shared" si="11"/>
        <v>132754.72445629264</v>
      </c>
      <c r="DC18" s="10">
        <f t="shared" si="11"/>
        <v>139387.36873957532</v>
      </c>
      <c r="DD18" s="10">
        <f t="shared" si="11"/>
        <v>138760.14001093284</v>
      </c>
      <c r="DE18" s="10">
        <f t="shared" si="11"/>
        <v>142265.13458115971</v>
      </c>
      <c r="DF18" s="10">
        <f t="shared" si="11"/>
        <v>82259.201412832015</v>
      </c>
      <c r="DG18" s="10">
        <f t="shared" si="11"/>
        <v>143150.22387231656</v>
      </c>
    </row>
    <row r="19" spans="2:111" ht="18" customHeight="1">
      <c r="B19" s="3" t="s">
        <v>1</v>
      </c>
      <c r="C19" s="4" t="s">
        <v>125</v>
      </c>
      <c r="D19" s="3" t="s">
        <v>141</v>
      </c>
      <c r="G19" s="7">
        <f>-[1]Ratios!G18</f>
        <v>0</v>
      </c>
      <c r="H19" s="7">
        <f>-[1]Ratios!H18</f>
        <v>0</v>
      </c>
      <c r="I19" s="7">
        <f>-[1]Ratios!I18</f>
        <v>0</v>
      </c>
      <c r="J19" s="7">
        <f>-[1]Ratios!J18</f>
        <v>0</v>
      </c>
      <c r="K19" s="7">
        <f>-[1]Ratios!K18</f>
        <v>0</v>
      </c>
      <c r="L19" s="7">
        <f>-[1]Ratios!L18</f>
        <v>0</v>
      </c>
      <c r="M19" s="7">
        <f>-[1]Ratios!M18</f>
        <v>0</v>
      </c>
      <c r="N19" s="7">
        <f>-[1]Ratios!N18</f>
        <v>0</v>
      </c>
      <c r="O19" s="7">
        <f>-[1]Ratios!O18</f>
        <v>0</v>
      </c>
      <c r="P19" s="7">
        <f>-[1]Ratios!P18</f>
        <v>0</v>
      </c>
      <c r="Q19" s="7">
        <f>-[1]Ratios!Q18</f>
        <v>0</v>
      </c>
      <c r="R19" s="7">
        <f>-[1]Ratios!R18</f>
        <v>0</v>
      </c>
      <c r="S19" s="7">
        <f>-[1]Ratios!S18</f>
        <v>0</v>
      </c>
      <c r="T19" s="7">
        <f>-[1]Ratios!T18</f>
        <v>0</v>
      </c>
      <c r="U19" s="7">
        <f>-[1]Ratios!U18</f>
        <v>0</v>
      </c>
      <c r="V19" s="7">
        <f>-[1]Ratios!V18</f>
        <v>0</v>
      </c>
      <c r="W19" s="7">
        <f>-[1]Ratios!W18</f>
        <v>0</v>
      </c>
      <c r="X19" s="7">
        <f>-[1]Ratios!X18</f>
        <v>0</v>
      </c>
      <c r="Y19" s="7">
        <f>-[1]Ratios!Y18</f>
        <v>0</v>
      </c>
      <c r="Z19" s="7">
        <f>-[1]Ratios!Z18</f>
        <v>0</v>
      </c>
      <c r="AA19" s="7">
        <f>-[1]Ratios!AA18</f>
        <v>0</v>
      </c>
      <c r="AB19" s="7">
        <f>-[1]Ratios!AB18</f>
        <v>0</v>
      </c>
      <c r="AC19" s="7">
        <f>-[1]Ratios!AC18</f>
        <v>0</v>
      </c>
      <c r="AD19" s="7">
        <f>-[1]Ratios!AD18</f>
        <v>0</v>
      </c>
      <c r="AE19" s="7">
        <f>-[1]Ratios!AE18</f>
        <v>0</v>
      </c>
      <c r="AF19" s="7">
        <f>-[1]Ratios!AF18</f>
        <v>0</v>
      </c>
      <c r="AG19" s="7">
        <f>-[1]Ratios!AG18</f>
        <v>0</v>
      </c>
      <c r="AH19" s="7">
        <f>-[1]Ratios!AH18</f>
        <v>0</v>
      </c>
      <c r="AI19" s="7">
        <f>-[1]Ratios!AI18</f>
        <v>0</v>
      </c>
      <c r="AJ19" s="7">
        <f>-[1]Ratios!AJ18</f>
        <v>0</v>
      </c>
      <c r="AK19" s="7">
        <f>-[1]Ratios!AK18</f>
        <v>-9296.166739323402</v>
      </c>
      <c r="AL19" s="7">
        <f>-[1]Ratios!AL18</f>
        <v>-18592.333478646804</v>
      </c>
      <c r="AM19" s="7">
        <f>-[1]Ratios!AM18</f>
        <v>-18592.333478646804</v>
      </c>
      <c r="AN19" s="7">
        <f>-[1]Ratios!AN18</f>
        <v>-18592.333478646804</v>
      </c>
      <c r="AO19" s="7">
        <f>-[1]Ratios!AO18</f>
        <v>-18592.333478646804</v>
      </c>
      <c r="AP19" s="7">
        <f>-[1]Ratios!AP18</f>
        <v>-18592.333478646804</v>
      </c>
      <c r="AQ19" s="7">
        <f>-[1]Ratios!AQ18</f>
        <v>-18592.333478646804</v>
      </c>
      <c r="AR19" s="7">
        <f>-[1]Ratios!AR18</f>
        <v>-18592.333478646804</v>
      </c>
      <c r="AS19" s="7">
        <f>-[1]Ratios!AS18</f>
        <v>-18592.333478646804</v>
      </c>
      <c r="AT19" s="7">
        <f>-[1]Ratios!AT18</f>
        <v>-18630.170447672277</v>
      </c>
      <c r="AU19" s="7">
        <f>-[1]Ratios!AU18</f>
        <v>-18668.007416697754</v>
      </c>
      <c r="AV19" s="7">
        <f>-[1]Ratios!AV18</f>
        <v>-18668.007416697754</v>
      </c>
      <c r="AW19" s="7">
        <f>-[1]Ratios!AW18</f>
        <v>-18668.007416697754</v>
      </c>
      <c r="AX19" s="7">
        <f>-[1]Ratios!AX18</f>
        <v>-18668.007416697754</v>
      </c>
      <c r="AY19" s="7">
        <f>-[1]Ratios!AY18</f>
        <v>-18668.007416697754</v>
      </c>
      <c r="AZ19" s="7">
        <f>-[1]Ratios!AZ18</f>
        <v>-18668.007416697754</v>
      </c>
      <c r="BA19" s="7">
        <f>-[1]Ratios!BA18</f>
        <v>-18668.007416697754</v>
      </c>
      <c r="BB19" s="7">
        <f>-[1]Ratios!BB18</f>
        <v>-18706.220882250298</v>
      </c>
      <c r="BC19" s="7">
        <f>-[1]Ratios!BC18</f>
        <v>-18744.434347802839</v>
      </c>
      <c r="BD19" s="7">
        <f>-[1]Ratios!BD18</f>
        <v>-18744.434347802839</v>
      </c>
      <c r="BE19" s="7">
        <f>-[1]Ratios!BE18</f>
        <v>-18744.434347802839</v>
      </c>
      <c r="BF19" s="7">
        <f>-[1]Ratios!BF18</f>
        <v>-18744.434347802839</v>
      </c>
      <c r="BG19" s="7">
        <f>-[1]Ratios!BG18</f>
        <v>-18744.434347802839</v>
      </c>
      <c r="BH19" s="7">
        <f>-[1]Ratios!BH18</f>
        <v>-18744.434347802839</v>
      </c>
      <c r="BI19" s="7">
        <f>-[1]Ratios!BI18</f>
        <v>-18744.434347802839</v>
      </c>
      <c r="BJ19" s="7">
        <f>-[1]Ratios!BJ18</f>
        <v>-18783.028056208823</v>
      </c>
      <c r="BK19" s="7">
        <f>-[1]Ratios!BK18</f>
        <v>-18821.621764614807</v>
      </c>
      <c r="BL19" s="7">
        <f>-[1]Ratios!BL18</f>
        <v>-18821.621764614807</v>
      </c>
      <c r="BM19" s="7">
        <f>-[1]Ratios!BM18</f>
        <v>-18821.621764614807</v>
      </c>
      <c r="BN19" s="7">
        <f>-[1]Ratios!BN18</f>
        <v>-18821.621764614807</v>
      </c>
      <c r="BO19" s="7">
        <f>-[1]Ratios!BO18</f>
        <v>-18821.621764614807</v>
      </c>
      <c r="BP19" s="7">
        <f>-[1]Ratios!BP18</f>
        <v>-18821.621764614807</v>
      </c>
      <c r="BQ19" s="7">
        <f>-[1]Ratios!BQ18</f>
        <v>-18821.621764614807</v>
      </c>
      <c r="BR19" s="7">
        <f>-[1]Ratios!BR18</f>
        <v>-18860.599499478401</v>
      </c>
      <c r="BS19" s="7">
        <f>-[1]Ratios!BS18</f>
        <v>-18899.577234341996</v>
      </c>
      <c r="BT19" s="7">
        <f>-[1]Ratios!BT18</f>
        <v>-18899.577234341996</v>
      </c>
      <c r="BU19" s="7">
        <f>-[1]Ratios!BU18</f>
        <v>-18899.577234341996</v>
      </c>
      <c r="BV19" s="7">
        <f>-[1]Ratios!BV18</f>
        <v>-18899.577234341996</v>
      </c>
      <c r="BW19" s="7">
        <f>-[1]Ratios!BW18</f>
        <v>-18899.577234341996</v>
      </c>
      <c r="BX19" s="7">
        <f>-[1]Ratios!BX18</f>
        <v>-18899.577234341996</v>
      </c>
      <c r="BY19" s="7">
        <f>-[1]Ratios!BY18</f>
        <v>-18899.577234341996</v>
      </c>
      <c r="BZ19" s="7">
        <f>-[1]Ratios!BZ18</f>
        <v>-18939.384854498734</v>
      </c>
      <c r="CA19" s="7">
        <f>-[1]Ratios!CA18</f>
        <v>-18979.192474655469</v>
      </c>
      <c r="CB19" s="7">
        <f>-[1]Ratios!CB18</f>
        <v>-18979.192474655469</v>
      </c>
      <c r="CC19" s="7">
        <f>-[1]Ratios!CC18</f>
        <v>-18979.192474655469</v>
      </c>
      <c r="CD19" s="7">
        <f>-[1]Ratios!CD18</f>
        <v>-18979.192474655469</v>
      </c>
      <c r="CE19" s="7">
        <f>-[1]Ratios!CE18</f>
        <v>-18979.192474655469</v>
      </c>
      <c r="CF19" s="7">
        <f>-[1]Ratios!CF18</f>
        <v>-18979.192474655469</v>
      </c>
      <c r="CG19" s="7">
        <f>-[1]Ratios!CG18</f>
        <v>-18979.192474655469</v>
      </c>
      <c r="CH19" s="7">
        <f>-[1]Ratios!CH18</f>
        <v>-19020.61135789855</v>
      </c>
      <c r="CI19" s="7">
        <f>-[1]Ratios!CI18</f>
        <v>-19062.030241141631</v>
      </c>
      <c r="CJ19" s="7">
        <f>-[1]Ratios!CJ18</f>
        <v>-19062.030241141631</v>
      </c>
      <c r="CK19" s="7">
        <f>-[1]Ratios!CK18</f>
        <v>-19062.030241141631</v>
      </c>
      <c r="CL19" s="7">
        <f>-[1]Ratios!CL18</f>
        <v>-19062.030241141631</v>
      </c>
      <c r="CM19" s="7">
        <f>-[1]Ratios!CM18</f>
        <v>-19062.030241141631</v>
      </c>
      <c r="CN19" s="7">
        <f>-[1]Ratios!CN18</f>
        <v>-19062.030241141631</v>
      </c>
      <c r="CO19" s="7">
        <f>-[1]Ratios!CO18</f>
        <v>-19062.030241141631</v>
      </c>
      <c r="CP19" s="7">
        <f>-[1]Ratios!CP18</f>
        <v>-19105.125605354544</v>
      </c>
      <c r="CQ19" s="7">
        <f>-[1]Ratios!CQ18</f>
        <v>-19148.220969567461</v>
      </c>
      <c r="CR19" s="7">
        <f>-[1]Ratios!CR18</f>
        <v>-19148.220969567461</v>
      </c>
      <c r="CS19" s="7">
        <f>-[1]Ratios!CS18</f>
        <v>-19148.220969567461</v>
      </c>
      <c r="CT19" s="7">
        <f>-[1]Ratios!CT18</f>
        <v>-19148.220969567461</v>
      </c>
      <c r="CU19" s="7">
        <f>-[1]Ratios!CU18</f>
        <v>-19148.220969567461</v>
      </c>
      <c r="CV19" s="7">
        <f>-[1]Ratios!CV18</f>
        <v>-19148.220969567461</v>
      </c>
      <c r="CW19" s="7">
        <f>-[1]Ratios!CW18</f>
        <v>-19148.220969567461</v>
      </c>
      <c r="CX19" s="7">
        <f>-[1]Ratios!CX18</f>
        <v>-19193.060672408894</v>
      </c>
      <c r="CY19" s="7">
        <f>-[1]Ratios!CY18</f>
        <v>-19237.90037525033</v>
      </c>
      <c r="CZ19" s="7">
        <f>-[1]Ratios!CZ18</f>
        <v>-19237.90037525033</v>
      </c>
      <c r="DA19" s="7">
        <f>-[1]Ratios!DA18</f>
        <v>-19237.90037525033</v>
      </c>
      <c r="DB19" s="7">
        <f>-[1]Ratios!DB18</f>
        <v>-19237.90037525033</v>
      </c>
      <c r="DC19" s="7">
        <f>-[1]Ratios!DC18</f>
        <v>-19237.90037525033</v>
      </c>
      <c r="DD19" s="7">
        <f>-[1]Ratios!DD18</f>
        <v>-19237.90037525033</v>
      </c>
      <c r="DE19" s="7">
        <f>-[1]Ratios!DE18</f>
        <v>-19237.90037525033</v>
      </c>
      <c r="DF19" s="7">
        <f>-[1]Ratios!DF18</f>
        <v>-19284.555021002358</v>
      </c>
      <c r="DG19" s="7">
        <f>-[1]Ratios!DG18</f>
        <v>-19331.209666754385</v>
      </c>
    </row>
    <row r="20" spans="2:111" ht="18" customHeight="1">
      <c r="B20" s="1" t="s">
        <v>2</v>
      </c>
      <c r="C20" s="2" t="s">
        <v>125</v>
      </c>
      <c r="D20" s="3" t="s">
        <v>146</v>
      </c>
      <c r="G20" s="9">
        <f t="shared" ref="G20:AL20" si="12">G18+G19</f>
        <v>-73.853615825933943</v>
      </c>
      <c r="H20" s="10">
        <f t="shared" si="12"/>
        <v>-49.259592399787721</v>
      </c>
      <c r="I20" s="10">
        <f t="shared" si="12"/>
        <v>-68.827173614122557</v>
      </c>
      <c r="J20" s="10">
        <f t="shared" si="12"/>
        <v>-300.92832207452545</v>
      </c>
      <c r="K20" s="10">
        <f t="shared" si="12"/>
        <v>-182.42161905435893</v>
      </c>
      <c r="L20" s="10">
        <f t="shared" si="12"/>
        <v>-157.90684721623302</v>
      </c>
      <c r="M20" s="10">
        <f t="shared" si="12"/>
        <v>-200.29846257810186</v>
      </c>
      <c r="N20" s="10">
        <f t="shared" si="12"/>
        <v>-445.65270920431954</v>
      </c>
      <c r="O20" s="10">
        <f t="shared" si="12"/>
        <v>-571.08753128462706</v>
      </c>
      <c r="P20" s="10">
        <f t="shared" si="12"/>
        <v>-315.63891195500196</v>
      </c>
      <c r="Q20" s="10">
        <f t="shared" si="12"/>
        <v>-693.17534389650177</v>
      </c>
      <c r="R20" s="10">
        <f t="shared" si="12"/>
        <v>-647.32141036491998</v>
      </c>
      <c r="S20" s="10">
        <f t="shared" si="12"/>
        <v>-1025.3097203872301</v>
      </c>
      <c r="T20" s="10">
        <f t="shared" si="12"/>
        <v>-729.31276503584218</v>
      </c>
      <c r="U20" s="10">
        <f t="shared" si="12"/>
        <v>-539.84225164551458</v>
      </c>
      <c r="V20" s="10">
        <f t="shared" si="12"/>
        <v>-465.07791085754116</v>
      </c>
      <c r="W20" s="10">
        <f t="shared" si="12"/>
        <v>-1193.0477785745873</v>
      </c>
      <c r="X20" s="10">
        <f t="shared" si="12"/>
        <v>-393.14340787547394</v>
      </c>
      <c r="Y20" s="10">
        <f t="shared" si="12"/>
        <v>-696.2085939889007</v>
      </c>
      <c r="Z20" s="10">
        <f t="shared" si="12"/>
        <v>-566.59053834432962</v>
      </c>
      <c r="AA20" s="10">
        <f t="shared" si="12"/>
        <v>-714.77900654352834</v>
      </c>
      <c r="AB20" s="10">
        <f t="shared" si="12"/>
        <v>-782.40401744502742</v>
      </c>
      <c r="AC20" s="10">
        <f t="shared" si="12"/>
        <v>-1155.9545677701808</v>
      </c>
      <c r="AD20" s="10">
        <f t="shared" si="12"/>
        <v>-1226.9492035353057</v>
      </c>
      <c r="AE20" s="10">
        <f t="shared" si="12"/>
        <v>-1933.9552215619995</v>
      </c>
      <c r="AF20" s="10">
        <f t="shared" si="12"/>
        <v>-1669.2601211539406</v>
      </c>
      <c r="AG20" s="10">
        <f t="shared" si="12"/>
        <v>-1797.2971371623084</v>
      </c>
      <c r="AH20" s="10">
        <f t="shared" si="12"/>
        <v>-1066.2417595450577</v>
      </c>
      <c r="AI20" s="10">
        <f t="shared" si="12"/>
        <v>-1202.9362726998595</v>
      </c>
      <c r="AJ20" s="10">
        <f t="shared" si="12"/>
        <v>-971.64616060012395</v>
      </c>
      <c r="AK20" s="10">
        <f t="shared" si="12"/>
        <v>58973.690096219994</v>
      </c>
      <c r="AL20" s="10">
        <f t="shared" si="12"/>
        <v>43647.347848213773</v>
      </c>
      <c r="AM20" s="10">
        <f t="shared" ref="AM20:BR20" si="13">AM18+AM19</f>
        <v>47590.406899371752</v>
      </c>
      <c r="AN20" s="10">
        <f t="shared" si="13"/>
        <v>73927.435360243529</v>
      </c>
      <c r="AO20" s="10">
        <f t="shared" si="13"/>
        <v>74799.187615948162</v>
      </c>
      <c r="AP20" s="10">
        <f t="shared" si="13"/>
        <v>69853.878083753181</v>
      </c>
      <c r="AQ20" s="10">
        <f t="shared" si="13"/>
        <v>73952.557474377871</v>
      </c>
      <c r="AR20" s="10">
        <f t="shared" si="13"/>
        <v>78258.919067567811</v>
      </c>
      <c r="AS20" s="10">
        <f t="shared" si="13"/>
        <v>80381.303076372875</v>
      </c>
      <c r="AT20" s="10">
        <f t="shared" si="13"/>
        <v>38203.924444377393</v>
      </c>
      <c r="AU20" s="10">
        <f t="shared" si="13"/>
        <v>79338.706429659112</v>
      </c>
      <c r="AV20" s="10">
        <f t="shared" si="13"/>
        <v>83964.332221724486</v>
      </c>
      <c r="AW20" s="10">
        <f t="shared" si="13"/>
        <v>86434.02814085102</v>
      </c>
      <c r="AX20" s="10">
        <f t="shared" si="13"/>
        <v>81963.56521147913</v>
      </c>
      <c r="AY20" s="10">
        <f t="shared" si="13"/>
        <v>86906.478075802079</v>
      </c>
      <c r="AZ20" s="10">
        <f t="shared" si="13"/>
        <v>86694.972343966976</v>
      </c>
      <c r="BA20" s="10">
        <f t="shared" si="13"/>
        <v>89224.456439129761</v>
      </c>
      <c r="BB20" s="10">
        <f t="shared" si="13"/>
        <v>44871.005206164715</v>
      </c>
      <c r="BC20" s="10">
        <f t="shared" si="13"/>
        <v>89644.361156469706</v>
      </c>
      <c r="BD20" s="10">
        <f t="shared" si="13"/>
        <v>87933.875889400311</v>
      </c>
      <c r="BE20" s="10">
        <f t="shared" si="13"/>
        <v>89181.367662787641</v>
      </c>
      <c r="BF20" s="10">
        <f t="shared" si="13"/>
        <v>84570.989455601812</v>
      </c>
      <c r="BG20" s="10">
        <f t="shared" si="13"/>
        <v>89738.395225640357</v>
      </c>
      <c r="BH20" s="10">
        <f t="shared" si="13"/>
        <v>89723.277466150874</v>
      </c>
      <c r="BI20" s="10">
        <f t="shared" si="13"/>
        <v>92395.152167026186</v>
      </c>
      <c r="BJ20" s="10">
        <f t="shared" si="13"/>
        <v>45929.675547878556</v>
      </c>
      <c r="BK20" s="10">
        <f t="shared" si="13"/>
        <v>92893.089330263756</v>
      </c>
      <c r="BL20" s="10">
        <f t="shared" si="13"/>
        <v>92522.071638323192</v>
      </c>
      <c r="BM20" s="10">
        <f t="shared" si="13"/>
        <v>95255.785395813116</v>
      </c>
      <c r="BN20" s="10">
        <f t="shared" si="13"/>
        <v>90480.2388888688</v>
      </c>
      <c r="BO20" s="10">
        <f t="shared" si="13"/>
        <v>95865.672574173776</v>
      </c>
      <c r="BP20" s="10">
        <f t="shared" si="13"/>
        <v>95480.205439838988</v>
      </c>
      <c r="BQ20" s="10">
        <f t="shared" si="13"/>
        <v>98277.096440539521</v>
      </c>
      <c r="BR20" s="10">
        <f t="shared" si="13"/>
        <v>49576.133630056545</v>
      </c>
      <c r="BS20" s="10">
        <f t="shared" ref="BS20:CX20" si="14">BS18+BS19</f>
        <v>98821.214216525987</v>
      </c>
      <c r="BT20" s="10">
        <f t="shared" si="14"/>
        <v>99290.530424547469</v>
      </c>
      <c r="BU20" s="10">
        <f t="shared" si="14"/>
        <v>100648.58150406658</v>
      </c>
      <c r="BV20" s="10">
        <f t="shared" si="14"/>
        <v>95691.35986709455</v>
      </c>
      <c r="BW20" s="10">
        <f t="shared" si="14"/>
        <v>101292.75441977271</v>
      </c>
      <c r="BX20" s="10">
        <f t="shared" si="14"/>
        <v>94457.634858359888</v>
      </c>
      <c r="BY20" s="10">
        <f t="shared" si="14"/>
        <v>97446.408502114296</v>
      </c>
      <c r="BZ20" s="10">
        <f t="shared" si="14"/>
        <v>46620.797143901211</v>
      </c>
      <c r="CA20" s="10">
        <f t="shared" si="14"/>
        <v>98125.536783330885</v>
      </c>
      <c r="CB20" s="10">
        <f t="shared" si="14"/>
        <v>97497.43868894699</v>
      </c>
      <c r="CC20" s="10">
        <f t="shared" si="14"/>
        <v>100549.07642245296</v>
      </c>
      <c r="CD20" s="10">
        <f t="shared" si="14"/>
        <v>95475.300322921888</v>
      </c>
      <c r="CE20" s="10">
        <f t="shared" si="14"/>
        <v>101379.41080506188</v>
      </c>
      <c r="CF20" s="10">
        <f t="shared" si="14"/>
        <v>100731.96078728058</v>
      </c>
      <c r="CG20" s="10">
        <f t="shared" si="14"/>
        <v>103847.52438433924</v>
      </c>
      <c r="CH20" s="10">
        <f t="shared" si="14"/>
        <v>50747.351203452839</v>
      </c>
      <c r="CI20" s="10">
        <f t="shared" si="14"/>
        <v>104560.22217828878</v>
      </c>
      <c r="CJ20" s="10">
        <f t="shared" si="14"/>
        <v>105127.85907572463</v>
      </c>
      <c r="CK20" s="10">
        <f t="shared" si="14"/>
        <v>106670.72311408135</v>
      </c>
      <c r="CL20" s="10">
        <f t="shared" si="14"/>
        <v>101395.96652974434</v>
      </c>
      <c r="CM20" s="10">
        <f t="shared" si="14"/>
        <v>107531.71578377894</v>
      </c>
      <c r="CN20" s="10">
        <f t="shared" si="14"/>
        <v>106969.54923796824</v>
      </c>
      <c r="CO20" s="10">
        <f t="shared" si="14"/>
        <v>110212.88330515586</v>
      </c>
      <c r="CP20" s="10">
        <f t="shared" si="14"/>
        <v>54827.29285108456</v>
      </c>
      <c r="CQ20" s="10">
        <f t="shared" si="14"/>
        <v>110954.99866273432</v>
      </c>
      <c r="CR20" s="10">
        <f t="shared" si="14"/>
        <v>109955.99990277525</v>
      </c>
      <c r="CS20" s="10">
        <f t="shared" si="14"/>
        <v>113263.08058582418</v>
      </c>
      <c r="CT20" s="10">
        <f t="shared" si="14"/>
        <v>107778.06601790828</v>
      </c>
      <c r="CU20" s="10">
        <f t="shared" si="14"/>
        <v>114163.21487045073</v>
      </c>
      <c r="CV20" s="10">
        <f t="shared" si="14"/>
        <v>113139.25925098953</v>
      </c>
      <c r="CW20" s="10">
        <f t="shared" si="14"/>
        <v>116510.86330249076</v>
      </c>
      <c r="CX20" s="10">
        <f t="shared" si="14"/>
        <v>58838.251967737313</v>
      </c>
      <c r="CY20" s="10">
        <f t="shared" ref="CY20:DG20" si="15">CY18+CY19</f>
        <v>117277.36079910466</v>
      </c>
      <c r="CZ20" s="10">
        <f t="shared" si="15"/>
        <v>117567.73601112001</v>
      </c>
      <c r="DA20" s="10">
        <f t="shared" si="15"/>
        <v>119228.9265893401</v>
      </c>
      <c r="DB20" s="10">
        <f t="shared" si="15"/>
        <v>113516.8240810423</v>
      </c>
      <c r="DC20" s="10">
        <f t="shared" si="15"/>
        <v>120149.46836432499</v>
      </c>
      <c r="DD20" s="10">
        <f t="shared" si="15"/>
        <v>119522.2396356825</v>
      </c>
      <c r="DE20" s="10">
        <f t="shared" si="15"/>
        <v>123027.23420590938</v>
      </c>
      <c r="DF20" s="10">
        <f t="shared" si="15"/>
        <v>62974.646391829658</v>
      </c>
      <c r="DG20" s="10">
        <f t="shared" si="15"/>
        <v>123819.01420556218</v>
      </c>
    </row>
    <row r="21" spans="2:111" ht="18" customHeight="1">
      <c r="B21" s="3" t="s">
        <v>3</v>
      </c>
      <c r="C21" s="4" t="s">
        <v>125</v>
      </c>
      <c r="D21" s="3" t="s">
        <v>150</v>
      </c>
      <c r="G21" s="7">
        <f t="shared" ref="G21:AL21" si="16">IF(G20&lt;0,0,G20*G$6)</f>
        <v>0</v>
      </c>
      <c r="H21" s="7">
        <f t="shared" si="16"/>
        <v>0</v>
      </c>
      <c r="I21" s="7">
        <f t="shared" si="16"/>
        <v>0</v>
      </c>
      <c r="J21" s="7">
        <f t="shared" si="16"/>
        <v>0</v>
      </c>
      <c r="K21" s="7">
        <f t="shared" si="16"/>
        <v>0</v>
      </c>
      <c r="L21" s="7">
        <f t="shared" si="16"/>
        <v>0</v>
      </c>
      <c r="M21" s="7">
        <f t="shared" si="16"/>
        <v>0</v>
      </c>
      <c r="N21" s="7">
        <f t="shared" si="16"/>
        <v>0</v>
      </c>
      <c r="O21" s="7">
        <f t="shared" si="16"/>
        <v>0</v>
      </c>
      <c r="P21" s="7">
        <f t="shared" si="16"/>
        <v>0</v>
      </c>
      <c r="Q21" s="7">
        <f t="shared" si="16"/>
        <v>0</v>
      </c>
      <c r="R21" s="7">
        <f t="shared" si="16"/>
        <v>0</v>
      </c>
      <c r="S21" s="7">
        <f t="shared" si="16"/>
        <v>0</v>
      </c>
      <c r="T21" s="7">
        <f t="shared" si="16"/>
        <v>0</v>
      </c>
      <c r="U21" s="7">
        <f t="shared" si="16"/>
        <v>0</v>
      </c>
      <c r="V21" s="7">
        <f t="shared" si="16"/>
        <v>0</v>
      </c>
      <c r="W21" s="7">
        <f t="shared" si="16"/>
        <v>0</v>
      </c>
      <c r="X21" s="7">
        <f t="shared" si="16"/>
        <v>0</v>
      </c>
      <c r="Y21" s="7">
        <f t="shared" si="16"/>
        <v>0</v>
      </c>
      <c r="Z21" s="7">
        <f t="shared" si="16"/>
        <v>0</v>
      </c>
      <c r="AA21" s="7">
        <f t="shared" si="16"/>
        <v>0</v>
      </c>
      <c r="AB21" s="7">
        <f t="shared" si="16"/>
        <v>0</v>
      </c>
      <c r="AC21" s="7">
        <f t="shared" si="16"/>
        <v>0</v>
      </c>
      <c r="AD21" s="7">
        <f t="shared" si="16"/>
        <v>0</v>
      </c>
      <c r="AE21" s="7">
        <f t="shared" si="16"/>
        <v>0</v>
      </c>
      <c r="AF21" s="7">
        <f t="shared" si="16"/>
        <v>0</v>
      </c>
      <c r="AG21" s="7">
        <f t="shared" si="16"/>
        <v>0</v>
      </c>
      <c r="AH21" s="7">
        <f t="shared" si="16"/>
        <v>0</v>
      </c>
      <c r="AI21" s="7">
        <f t="shared" si="16"/>
        <v>0</v>
      </c>
      <c r="AJ21" s="7">
        <f t="shared" si="16"/>
        <v>0</v>
      </c>
      <c r="AK21" s="7">
        <f t="shared" si="16"/>
        <v>0</v>
      </c>
      <c r="AL21" s="7">
        <f t="shared" si="16"/>
        <v>0</v>
      </c>
      <c r="AM21" s="7">
        <f t="shared" ref="AM21:BR21" si="17">IF(AM20&lt;0,0,AM20*AM$6)</f>
        <v>0</v>
      </c>
      <c r="AN21" s="7">
        <f t="shared" si="17"/>
        <v>0</v>
      </c>
      <c r="AO21" s="7">
        <f t="shared" si="17"/>
        <v>0</v>
      </c>
      <c r="AP21" s="7">
        <f t="shared" si="17"/>
        <v>0</v>
      </c>
      <c r="AQ21" s="7">
        <f t="shared" si="17"/>
        <v>0</v>
      </c>
      <c r="AR21" s="7">
        <f t="shared" si="17"/>
        <v>0</v>
      </c>
      <c r="AS21" s="7">
        <f t="shared" si="17"/>
        <v>0</v>
      </c>
      <c r="AT21" s="7">
        <f t="shared" si="17"/>
        <v>0</v>
      </c>
      <c r="AU21" s="7">
        <f t="shared" si="17"/>
        <v>0</v>
      </c>
      <c r="AV21" s="7">
        <f t="shared" si="17"/>
        <v>0</v>
      </c>
      <c r="AW21" s="7">
        <f t="shared" si="17"/>
        <v>0</v>
      </c>
      <c r="AX21" s="7">
        <f t="shared" si="17"/>
        <v>0</v>
      </c>
      <c r="AY21" s="7">
        <f t="shared" si="17"/>
        <v>0</v>
      </c>
      <c r="AZ21" s="7">
        <f t="shared" si="17"/>
        <v>0</v>
      </c>
      <c r="BA21" s="7">
        <f t="shared" si="17"/>
        <v>0</v>
      </c>
      <c r="BB21" s="7">
        <f t="shared" si="17"/>
        <v>0</v>
      </c>
      <c r="BC21" s="7">
        <f t="shared" si="17"/>
        <v>0</v>
      </c>
      <c r="BD21" s="7">
        <f t="shared" si="17"/>
        <v>10552.065106728038</v>
      </c>
      <c r="BE21" s="7">
        <f t="shared" si="17"/>
        <v>10701.764119534519</v>
      </c>
      <c r="BF21" s="7">
        <f t="shared" si="17"/>
        <v>10148.518734672218</v>
      </c>
      <c r="BG21" s="7">
        <f t="shared" si="17"/>
        <v>10768.607427076844</v>
      </c>
      <c r="BH21" s="7">
        <f t="shared" si="17"/>
        <v>10766.793295938105</v>
      </c>
      <c r="BI21" s="7">
        <f t="shared" si="17"/>
        <v>11087.418260043143</v>
      </c>
      <c r="BJ21" s="7">
        <f t="shared" si="17"/>
        <v>5511.5610657454272</v>
      </c>
      <c r="BK21" s="7">
        <f t="shared" si="17"/>
        <v>11147.170719631651</v>
      </c>
      <c r="BL21" s="7">
        <f t="shared" si="17"/>
        <v>11102.648596598783</v>
      </c>
      <c r="BM21" s="7">
        <f t="shared" si="17"/>
        <v>11430.694247497575</v>
      </c>
      <c r="BN21" s="7">
        <f t="shared" si="17"/>
        <v>10857.628666664257</v>
      </c>
      <c r="BO21" s="7">
        <f t="shared" si="17"/>
        <v>11503.880708900853</v>
      </c>
      <c r="BP21" s="7">
        <f t="shared" si="17"/>
        <v>11457.62465278068</v>
      </c>
      <c r="BQ21" s="7">
        <f t="shared" si="17"/>
        <v>11793.251572864743</v>
      </c>
      <c r="BR21" s="7">
        <f t="shared" si="17"/>
        <v>5949.1360356067862</v>
      </c>
      <c r="BS21" s="7">
        <f t="shared" ref="BS21:CX21" si="18">IF(BS20&lt;0,0,BS20*BS$6)</f>
        <v>11858.545705983119</v>
      </c>
      <c r="BT21" s="7">
        <f t="shared" si="18"/>
        <v>11914.863650945697</v>
      </c>
      <c r="BU21" s="7">
        <f t="shared" si="18"/>
        <v>12077.829780487989</v>
      </c>
      <c r="BV21" s="7">
        <f t="shared" si="18"/>
        <v>11482.963184051347</v>
      </c>
      <c r="BW21" s="7">
        <f t="shared" si="18"/>
        <v>12155.130530372726</v>
      </c>
      <c r="BX21" s="7">
        <f t="shared" si="18"/>
        <v>23614.408714589972</v>
      </c>
      <c r="BY21" s="7">
        <f t="shared" si="18"/>
        <v>24361.602125528574</v>
      </c>
      <c r="BZ21" s="7">
        <f t="shared" si="18"/>
        <v>11655.199285975303</v>
      </c>
      <c r="CA21" s="7">
        <f t="shared" si="18"/>
        <v>24531.384195832721</v>
      </c>
      <c r="CB21" s="7">
        <f t="shared" si="18"/>
        <v>24374.359672236747</v>
      </c>
      <c r="CC21" s="7">
        <f t="shared" si="18"/>
        <v>25137.269105613239</v>
      </c>
      <c r="CD21" s="7">
        <f t="shared" si="18"/>
        <v>23868.825080730472</v>
      </c>
      <c r="CE21" s="7">
        <f t="shared" si="18"/>
        <v>25344.85270126547</v>
      </c>
      <c r="CF21" s="7">
        <f t="shared" si="18"/>
        <v>25182.990196820145</v>
      </c>
      <c r="CG21" s="7">
        <f t="shared" si="18"/>
        <v>25961.88109608481</v>
      </c>
      <c r="CH21" s="7">
        <f t="shared" si="18"/>
        <v>12686.83780086321</v>
      </c>
      <c r="CI21" s="7">
        <f t="shared" si="18"/>
        <v>26140.055544572195</v>
      </c>
      <c r="CJ21" s="7">
        <f t="shared" si="18"/>
        <v>26281.964768931157</v>
      </c>
      <c r="CK21" s="7">
        <f t="shared" si="18"/>
        <v>26667.680778520338</v>
      </c>
      <c r="CL21" s="7">
        <f t="shared" si="18"/>
        <v>25348.991632436086</v>
      </c>
      <c r="CM21" s="7">
        <f t="shared" si="18"/>
        <v>26882.928945944735</v>
      </c>
      <c r="CN21" s="7">
        <f t="shared" si="18"/>
        <v>26742.38730949206</v>
      </c>
      <c r="CO21" s="7">
        <f t="shared" si="18"/>
        <v>27553.220826288965</v>
      </c>
      <c r="CP21" s="7">
        <f t="shared" si="18"/>
        <v>13706.82321277114</v>
      </c>
      <c r="CQ21" s="7">
        <f t="shared" si="18"/>
        <v>27738.749665683579</v>
      </c>
      <c r="CR21" s="7">
        <f t="shared" si="18"/>
        <v>27488.999975693812</v>
      </c>
      <c r="CS21" s="7">
        <f t="shared" si="18"/>
        <v>28315.770146456045</v>
      </c>
      <c r="CT21" s="7">
        <f t="shared" si="18"/>
        <v>26944.516504477069</v>
      </c>
      <c r="CU21" s="7">
        <f t="shared" si="18"/>
        <v>28540.803717612682</v>
      </c>
      <c r="CV21" s="7">
        <f t="shared" si="18"/>
        <v>28284.814812747383</v>
      </c>
      <c r="CW21" s="7">
        <f t="shared" si="18"/>
        <v>29127.71582562269</v>
      </c>
      <c r="CX21" s="7">
        <f t="shared" si="18"/>
        <v>14709.562991934328</v>
      </c>
      <c r="CY21" s="7">
        <f t="shared" ref="CY21:DG21" si="19">IF(CY20&lt;0,0,CY20*CY$6)</f>
        <v>29319.340199776165</v>
      </c>
      <c r="CZ21" s="7">
        <f t="shared" si="19"/>
        <v>29391.934002780003</v>
      </c>
      <c r="DA21" s="7">
        <f t="shared" si="19"/>
        <v>29807.231647335026</v>
      </c>
      <c r="DB21" s="7">
        <f t="shared" si="19"/>
        <v>28379.206020260575</v>
      </c>
      <c r="DC21" s="7">
        <f t="shared" si="19"/>
        <v>30037.367091081247</v>
      </c>
      <c r="DD21" s="7">
        <f t="shared" si="19"/>
        <v>29880.559908920626</v>
      </c>
      <c r="DE21" s="7">
        <f t="shared" si="19"/>
        <v>30756.808551477345</v>
      </c>
      <c r="DF21" s="7">
        <f t="shared" si="19"/>
        <v>15743.661597957414</v>
      </c>
      <c r="DG21" s="7">
        <f t="shared" si="19"/>
        <v>30954.753551390546</v>
      </c>
    </row>
    <row r="22" spans="2:111" ht="18" customHeight="1">
      <c r="B22" s="1" t="s">
        <v>4</v>
      </c>
      <c r="C22" s="2" t="s">
        <v>125</v>
      </c>
      <c r="D22" s="3" t="s">
        <v>147</v>
      </c>
      <c r="G22" s="10">
        <f t="shared" ref="G22:AL22" si="20">G20-G21</f>
        <v>-73.853615825933943</v>
      </c>
      <c r="H22" s="10">
        <f t="shared" si="20"/>
        <v>-49.259592399787721</v>
      </c>
      <c r="I22" s="10">
        <f t="shared" si="20"/>
        <v>-68.827173614122557</v>
      </c>
      <c r="J22" s="10">
        <f t="shared" si="20"/>
        <v>-300.92832207452545</v>
      </c>
      <c r="K22" s="10">
        <f t="shared" si="20"/>
        <v>-182.42161905435893</v>
      </c>
      <c r="L22" s="10">
        <f t="shared" si="20"/>
        <v>-157.90684721623302</v>
      </c>
      <c r="M22" s="10">
        <f t="shared" si="20"/>
        <v>-200.29846257810186</v>
      </c>
      <c r="N22" s="10">
        <f t="shared" si="20"/>
        <v>-445.65270920431954</v>
      </c>
      <c r="O22" s="10">
        <f t="shared" si="20"/>
        <v>-571.08753128462706</v>
      </c>
      <c r="P22" s="10">
        <f t="shared" si="20"/>
        <v>-315.63891195500196</v>
      </c>
      <c r="Q22" s="10">
        <f t="shared" si="20"/>
        <v>-693.17534389650177</v>
      </c>
      <c r="R22" s="10">
        <f t="shared" si="20"/>
        <v>-647.32141036491998</v>
      </c>
      <c r="S22" s="10">
        <f t="shared" si="20"/>
        <v>-1025.3097203872301</v>
      </c>
      <c r="T22" s="10">
        <f t="shared" si="20"/>
        <v>-729.31276503584218</v>
      </c>
      <c r="U22" s="10">
        <f t="shared" si="20"/>
        <v>-539.84225164551458</v>
      </c>
      <c r="V22" s="10">
        <f t="shared" si="20"/>
        <v>-465.07791085754116</v>
      </c>
      <c r="W22" s="10">
        <f t="shared" si="20"/>
        <v>-1193.0477785745873</v>
      </c>
      <c r="X22" s="10">
        <f t="shared" si="20"/>
        <v>-393.14340787547394</v>
      </c>
      <c r="Y22" s="10">
        <f t="shared" si="20"/>
        <v>-696.2085939889007</v>
      </c>
      <c r="Z22" s="10">
        <f t="shared" si="20"/>
        <v>-566.59053834432962</v>
      </c>
      <c r="AA22" s="10">
        <f t="shared" si="20"/>
        <v>-714.77900654352834</v>
      </c>
      <c r="AB22" s="10">
        <f t="shared" si="20"/>
        <v>-782.40401744502742</v>
      </c>
      <c r="AC22" s="10">
        <f t="shared" si="20"/>
        <v>-1155.9545677701808</v>
      </c>
      <c r="AD22" s="10">
        <f t="shared" si="20"/>
        <v>-1226.9492035353057</v>
      </c>
      <c r="AE22" s="10">
        <f t="shared" si="20"/>
        <v>-1933.9552215619995</v>
      </c>
      <c r="AF22" s="10">
        <f t="shared" si="20"/>
        <v>-1669.2601211539406</v>
      </c>
      <c r="AG22" s="10">
        <f t="shared" si="20"/>
        <v>-1797.2971371623084</v>
      </c>
      <c r="AH22" s="10">
        <f t="shared" si="20"/>
        <v>-1066.2417595450577</v>
      </c>
      <c r="AI22" s="10">
        <f t="shared" si="20"/>
        <v>-1202.9362726998595</v>
      </c>
      <c r="AJ22" s="10">
        <f t="shared" si="20"/>
        <v>-971.64616060012395</v>
      </c>
      <c r="AK22" s="10">
        <f t="shared" si="20"/>
        <v>58973.690096219994</v>
      </c>
      <c r="AL22" s="10">
        <f t="shared" si="20"/>
        <v>43647.347848213773</v>
      </c>
      <c r="AM22" s="10">
        <f t="shared" ref="AM22:BR22" si="21">AM20-AM21</f>
        <v>47590.406899371752</v>
      </c>
      <c r="AN22" s="10">
        <f t="shared" si="21"/>
        <v>73927.435360243529</v>
      </c>
      <c r="AO22" s="10">
        <f t="shared" si="21"/>
        <v>74799.187615948162</v>
      </c>
      <c r="AP22" s="10">
        <f t="shared" si="21"/>
        <v>69853.878083753181</v>
      </c>
      <c r="AQ22" s="10">
        <f t="shared" si="21"/>
        <v>73952.557474377871</v>
      </c>
      <c r="AR22" s="10">
        <f t="shared" si="21"/>
        <v>78258.919067567811</v>
      </c>
      <c r="AS22" s="10">
        <f t="shared" si="21"/>
        <v>80381.303076372875</v>
      </c>
      <c r="AT22" s="10">
        <f t="shared" si="21"/>
        <v>38203.924444377393</v>
      </c>
      <c r="AU22" s="10">
        <f t="shared" si="21"/>
        <v>79338.706429659112</v>
      </c>
      <c r="AV22" s="10">
        <f t="shared" si="21"/>
        <v>83964.332221724486</v>
      </c>
      <c r="AW22" s="10">
        <f t="shared" si="21"/>
        <v>86434.02814085102</v>
      </c>
      <c r="AX22" s="10">
        <f t="shared" si="21"/>
        <v>81963.56521147913</v>
      </c>
      <c r="AY22" s="10">
        <f t="shared" si="21"/>
        <v>86906.478075802079</v>
      </c>
      <c r="AZ22" s="10">
        <f t="shared" si="21"/>
        <v>86694.972343966976</v>
      </c>
      <c r="BA22" s="10">
        <f t="shared" si="21"/>
        <v>89224.456439129761</v>
      </c>
      <c r="BB22" s="10">
        <f t="shared" si="21"/>
        <v>44871.005206164715</v>
      </c>
      <c r="BC22" s="10">
        <f t="shared" si="21"/>
        <v>89644.361156469706</v>
      </c>
      <c r="BD22" s="10">
        <f t="shared" si="21"/>
        <v>77381.81078267227</v>
      </c>
      <c r="BE22" s="10">
        <f t="shared" si="21"/>
        <v>78479.603543253121</v>
      </c>
      <c r="BF22" s="10">
        <f t="shared" si="21"/>
        <v>74422.470720929588</v>
      </c>
      <c r="BG22" s="10">
        <f t="shared" si="21"/>
        <v>78969.787798563513</v>
      </c>
      <c r="BH22" s="10">
        <f t="shared" si="21"/>
        <v>78956.484170212774</v>
      </c>
      <c r="BI22" s="10">
        <f t="shared" si="21"/>
        <v>81307.733906983049</v>
      </c>
      <c r="BJ22" s="10">
        <f t="shared" si="21"/>
        <v>40418.114482133125</v>
      </c>
      <c r="BK22" s="10">
        <f t="shared" si="21"/>
        <v>81745.918610632099</v>
      </c>
      <c r="BL22" s="10">
        <f t="shared" si="21"/>
        <v>81419.423041724411</v>
      </c>
      <c r="BM22" s="10">
        <f t="shared" si="21"/>
        <v>83825.091148315536</v>
      </c>
      <c r="BN22" s="10">
        <f t="shared" si="21"/>
        <v>79622.610222204545</v>
      </c>
      <c r="BO22" s="10">
        <f t="shared" si="21"/>
        <v>84361.791865272928</v>
      </c>
      <c r="BP22" s="10">
        <f t="shared" si="21"/>
        <v>84022.580787058308</v>
      </c>
      <c r="BQ22" s="10">
        <f t="shared" si="21"/>
        <v>86483.844867674779</v>
      </c>
      <c r="BR22" s="10">
        <f t="shared" si="21"/>
        <v>43626.997594449756</v>
      </c>
      <c r="BS22" s="10">
        <f t="shared" ref="BS22:CX22" si="22">BS20-BS21</f>
        <v>86962.668510542862</v>
      </c>
      <c r="BT22" s="10">
        <f t="shared" si="22"/>
        <v>87375.66677360177</v>
      </c>
      <c r="BU22" s="10">
        <f t="shared" si="22"/>
        <v>88570.751723578593</v>
      </c>
      <c r="BV22" s="10">
        <f t="shared" si="22"/>
        <v>84208.396683043204</v>
      </c>
      <c r="BW22" s="10">
        <f t="shared" si="22"/>
        <v>89137.623889399983</v>
      </c>
      <c r="BX22" s="10">
        <f t="shared" si="22"/>
        <v>70843.22614376992</v>
      </c>
      <c r="BY22" s="10">
        <f t="shared" si="22"/>
        <v>73084.806376585722</v>
      </c>
      <c r="BZ22" s="10">
        <f t="shared" si="22"/>
        <v>34965.59785792591</v>
      </c>
      <c r="CA22" s="10">
        <f t="shared" si="22"/>
        <v>73594.15258749816</v>
      </c>
      <c r="CB22" s="10">
        <f t="shared" si="22"/>
        <v>73123.079016710239</v>
      </c>
      <c r="CC22" s="10">
        <f t="shared" si="22"/>
        <v>75411.807316839724</v>
      </c>
      <c r="CD22" s="10">
        <f t="shared" si="22"/>
        <v>71606.475242191416</v>
      </c>
      <c r="CE22" s="10">
        <f t="shared" si="22"/>
        <v>76034.558103796415</v>
      </c>
      <c r="CF22" s="10">
        <f t="shared" si="22"/>
        <v>75548.970590460434</v>
      </c>
      <c r="CG22" s="10">
        <f t="shared" si="22"/>
        <v>77885.643288254432</v>
      </c>
      <c r="CH22" s="10">
        <f t="shared" si="22"/>
        <v>38060.513402589626</v>
      </c>
      <c r="CI22" s="10">
        <f t="shared" si="22"/>
        <v>78420.166633716581</v>
      </c>
      <c r="CJ22" s="10">
        <f t="shared" si="22"/>
        <v>78845.894306793474</v>
      </c>
      <c r="CK22" s="10">
        <f t="shared" si="22"/>
        <v>80003.042335561011</v>
      </c>
      <c r="CL22" s="10">
        <f t="shared" si="22"/>
        <v>76046.974897308261</v>
      </c>
      <c r="CM22" s="10">
        <f t="shared" si="22"/>
        <v>80648.78683783421</v>
      </c>
      <c r="CN22" s="10">
        <f t="shared" si="22"/>
        <v>80227.161928476184</v>
      </c>
      <c r="CO22" s="10">
        <f t="shared" si="22"/>
        <v>82659.6624788669</v>
      </c>
      <c r="CP22" s="10">
        <f t="shared" si="22"/>
        <v>41120.469638313421</v>
      </c>
      <c r="CQ22" s="10">
        <f t="shared" si="22"/>
        <v>83216.248997050745</v>
      </c>
      <c r="CR22" s="10">
        <f t="shared" si="22"/>
        <v>82466.99992708143</v>
      </c>
      <c r="CS22" s="10">
        <f t="shared" si="22"/>
        <v>84947.310439368128</v>
      </c>
      <c r="CT22" s="10">
        <f t="shared" si="22"/>
        <v>80833.549513431208</v>
      </c>
      <c r="CU22" s="10">
        <f t="shared" si="22"/>
        <v>85622.411152838045</v>
      </c>
      <c r="CV22" s="10">
        <f t="shared" si="22"/>
        <v>84854.44443824215</v>
      </c>
      <c r="CW22" s="10">
        <f t="shared" si="22"/>
        <v>87383.147476868064</v>
      </c>
      <c r="CX22" s="10">
        <f t="shared" si="22"/>
        <v>44128.688975802987</v>
      </c>
      <c r="CY22" s="10">
        <f t="shared" ref="CY22:DG22" si="23">CY20-CY21</f>
        <v>87958.020599328491</v>
      </c>
      <c r="CZ22" s="10">
        <f t="shared" si="23"/>
        <v>88175.802008340004</v>
      </c>
      <c r="DA22" s="10">
        <f t="shared" si="23"/>
        <v>89421.694942005081</v>
      </c>
      <c r="DB22" s="10">
        <f t="shared" si="23"/>
        <v>85137.618060781722</v>
      </c>
      <c r="DC22" s="10">
        <f t="shared" si="23"/>
        <v>90112.101273243738</v>
      </c>
      <c r="DD22" s="10">
        <f t="shared" si="23"/>
        <v>89641.679726761882</v>
      </c>
      <c r="DE22" s="10">
        <f t="shared" si="23"/>
        <v>92270.425654432038</v>
      </c>
      <c r="DF22" s="10">
        <f t="shared" si="23"/>
        <v>47230.984793872245</v>
      </c>
      <c r="DG22" s="10">
        <f t="shared" si="23"/>
        <v>92864.260654171638</v>
      </c>
    </row>
    <row r="23" spans="2:111" ht="18" customHeight="1">
      <c r="B23" s="3" t="s">
        <v>5</v>
      </c>
      <c r="C23" s="4" t="s">
        <v>125</v>
      </c>
      <c r="D23" s="13" t="s">
        <v>141</v>
      </c>
      <c r="G23" s="6">
        <f>[1]Ratios!G19</f>
        <v>0</v>
      </c>
      <c r="H23" s="6">
        <f>[1]Ratios!H19</f>
        <v>-376.61607908290671</v>
      </c>
      <c r="I23" s="6">
        <f>[1]Ratios!I19</f>
        <v>13968.381906410999</v>
      </c>
      <c r="J23" s="6">
        <f>[1]Ratios!J19</f>
        <v>-9488.8299562041411</v>
      </c>
      <c r="K23" s="6">
        <f>[1]Ratios!K19</f>
        <v>-2533.893968984552</v>
      </c>
      <c r="L23" s="6">
        <f>[1]Ratios!L19</f>
        <v>1559.2679751463047</v>
      </c>
      <c r="M23" s="6">
        <f>[1]Ratios!M19</f>
        <v>3219.0296017385963</v>
      </c>
      <c r="N23" s="6">
        <f>[1]Ratios!N19</f>
        <v>-3640.1238973774043</v>
      </c>
      <c r="O23" s="6">
        <f>[1]Ratios!O19</f>
        <v>3095.077669390259</v>
      </c>
      <c r="P23" s="6">
        <f>[1]Ratios!P19</f>
        <v>200.5271428674796</v>
      </c>
      <c r="Q23" s="6">
        <f>[1]Ratios!Q19</f>
        <v>-5235.6615696802764</v>
      </c>
      <c r="R23" s="6">
        <f>[1]Ratios!R19</f>
        <v>587.13181484689449</v>
      </c>
      <c r="S23" s="6">
        <f>[1]Ratios!S19</f>
        <v>-425.14917546209062</v>
      </c>
      <c r="T23" s="6">
        <f>[1]Ratios!T19</f>
        <v>277.38409640256623</v>
      </c>
      <c r="U23" s="6">
        <f>[1]Ratios!U19</f>
        <v>-1923.0950864265201</v>
      </c>
      <c r="V23" s="6">
        <f>[1]Ratios!V19</f>
        <v>-15.154852739450689</v>
      </c>
      <c r="W23" s="6">
        <f>[1]Ratios!W19</f>
        <v>208.47002595719914</v>
      </c>
      <c r="X23" s="6">
        <f>[1]Ratios!X19</f>
        <v>-1975.4601992092676</v>
      </c>
      <c r="Y23" s="6">
        <f>[1]Ratios!Y19</f>
        <v>-6902.5046389784402</v>
      </c>
      <c r="Z23" s="6">
        <f>[1]Ratios!Z19</f>
        <v>-7021.4262693120509</v>
      </c>
      <c r="AA23" s="6">
        <f>[1]Ratios!AA19</f>
        <v>1344.4798367812218</v>
      </c>
      <c r="AB23" s="6">
        <f>[1]Ratios!AB19</f>
        <v>6689.3554945189917</v>
      </c>
      <c r="AC23" s="6">
        <f>[1]Ratios!AC19</f>
        <v>-11069.489202523308</v>
      </c>
      <c r="AD23" s="6">
        <f>[1]Ratios!AD19</f>
        <v>2934.8974084742331</v>
      </c>
      <c r="AE23" s="6">
        <f>[1]Ratios!AE19</f>
        <v>-13620.443852553104</v>
      </c>
      <c r="AF23" s="6">
        <f>[1]Ratios!AF19</f>
        <v>7233.6584298219059</v>
      </c>
      <c r="AG23" s="6">
        <f>[1]Ratios!AG19</f>
        <v>9588.4996236635016</v>
      </c>
      <c r="AH23" s="6">
        <f>[1]Ratios!AH19</f>
        <v>303.03345289022764</v>
      </c>
      <c r="AI23" s="6">
        <f>[1]Ratios!AI19</f>
        <v>2454.0159191716757</v>
      </c>
      <c r="AJ23" s="6">
        <f>[1]Ratios!AJ19</f>
        <v>-14580.16475429652</v>
      </c>
      <c r="AK23" s="6">
        <f>[1]Ratios!AK19</f>
        <v>-3614.9563377423401</v>
      </c>
      <c r="AL23" s="6">
        <f>[1]Ratios!AL19</f>
        <v>-29576.779222579142</v>
      </c>
      <c r="AM23" s="6">
        <f>[1]Ratios!AM19</f>
        <v>-29151.499826671323</v>
      </c>
      <c r="AN23" s="6">
        <f>[1]Ratios!AN19</f>
        <v>-32773.902513750698</v>
      </c>
      <c r="AO23" s="6">
        <f>[1]Ratios!AO19</f>
        <v>-5083.1041168670054</v>
      </c>
      <c r="AP23" s="6">
        <f>[1]Ratios!AP19</f>
        <v>-5804.8769472799468</v>
      </c>
      <c r="AQ23" s="6">
        <f>[1]Ratios!AQ19</f>
        <v>-5115.7435791217722</v>
      </c>
      <c r="AR23" s="6">
        <f>[1]Ratios!AR19</f>
        <v>-610.47661921143299</v>
      </c>
      <c r="AS23" s="6">
        <f>[1]Ratios!AS19</f>
        <v>-1581.5723172844155</v>
      </c>
      <c r="AT23" s="6">
        <f>[1]Ratios!AT19</f>
        <v>10746.834278311377</v>
      </c>
      <c r="AU23" s="6">
        <f>[1]Ratios!AU19</f>
        <v>-2644.4871766339347</v>
      </c>
      <c r="AV23" s="6">
        <f>[1]Ratios!AV19</f>
        <v>-726.47299239746644</v>
      </c>
      <c r="AW23" s="6">
        <f>[1]Ratios!AW19</f>
        <v>-1403.281604393007</v>
      </c>
      <c r="AX23" s="6">
        <f>[1]Ratios!AX19</f>
        <v>-12883.054889997788</v>
      </c>
      <c r="AY23" s="6">
        <f>[1]Ratios!AY19</f>
        <v>-1448.8109023810539</v>
      </c>
      <c r="AZ23" s="6">
        <f>[1]Ratios!AZ19</f>
        <v>-393.04127025650814</v>
      </c>
      <c r="BA23" s="6">
        <f>[1]Ratios!BA19</f>
        <v>-908.62410080101108</v>
      </c>
      <c r="BB23" s="6">
        <f>[1]Ratios!BB19</f>
        <v>11893.755345300364</v>
      </c>
      <c r="BC23" s="6">
        <f>[1]Ratios!BC19</f>
        <v>-2294.0073774422635</v>
      </c>
      <c r="BD23" s="6">
        <f>[1]Ratios!BD19</f>
        <v>-538.25210611126386</v>
      </c>
      <c r="BE23" s="6">
        <f>[1]Ratios!BE19</f>
        <v>-481.62155706371414</v>
      </c>
      <c r="BF23" s="6">
        <f>[1]Ratios!BF19</f>
        <v>-12687.296821729775</v>
      </c>
      <c r="BG23" s="6">
        <f>[1]Ratios!BG19</f>
        <v>-501.44351208311855</v>
      </c>
      <c r="BH23" s="6">
        <f>[1]Ratios!BH19</f>
        <v>-128.66601005470147</v>
      </c>
      <c r="BI23" s="6">
        <f>[1]Ratios!BI19</f>
        <v>-1030.9740690865438</v>
      </c>
      <c r="BJ23" s="6">
        <f>[1]Ratios!BJ19</f>
        <v>12412.271780579758</v>
      </c>
      <c r="BK23" s="6">
        <f>[1]Ratios!BK19</f>
        <v>-2532.396039557003</v>
      </c>
      <c r="BL23" s="6">
        <f>[1]Ratios!BL19</f>
        <v>-407.46113371493993</v>
      </c>
      <c r="BM23" s="6">
        <f>[1]Ratios!BM19</f>
        <v>-954.19974809384439</v>
      </c>
      <c r="BN23" s="6">
        <f>[1]Ratios!BN19</f>
        <v>-13609.237796717556</v>
      </c>
      <c r="BO23" s="6">
        <f>[1]Ratios!BO19</f>
        <v>-862.2860087484878</v>
      </c>
      <c r="BP23" s="6">
        <f>[1]Ratios!BP19</f>
        <v>-419.99480313088861</v>
      </c>
      <c r="BQ23" s="6">
        <f>[1]Ratios!BQ19</f>
        <v>-977.33314908179455</v>
      </c>
      <c r="BR23" s="6">
        <f>[1]Ratios!BR19</f>
        <v>13141.859752246004</v>
      </c>
      <c r="BS23" s="6">
        <f>[1]Ratios!BS19</f>
        <v>-2595.0815440409933</v>
      </c>
      <c r="BT23" s="6">
        <f>[1]Ratios!BT19</f>
        <v>-778.56304498534882</v>
      </c>
      <c r="BU23" s="6">
        <f>[1]Ratios!BU19</f>
        <v>-717.0006923036417</v>
      </c>
      <c r="BV23" s="6">
        <f>[1]Ratios!BV19</f>
        <v>-14066.351474691095</v>
      </c>
      <c r="BW23" s="6">
        <f>[1]Ratios!BW19</f>
        <v>-733.90768378262874</v>
      </c>
      <c r="BX23" s="6">
        <f>[1]Ratios!BX19</f>
        <v>521.14706766756717</v>
      </c>
      <c r="BY23" s="6">
        <f>[1]Ratios!BY19</f>
        <v>-476.68615846356261</v>
      </c>
      <c r="BZ23" s="6">
        <f>[1]Ratios!BZ19</f>
        <v>14274.03194502418</v>
      </c>
      <c r="CA23" s="6">
        <f>[1]Ratios!CA19</f>
        <v>-2209.4743710719049</v>
      </c>
      <c r="CB23" s="6">
        <f>[1]Ratios!CB19</f>
        <v>-415.81966996804113</v>
      </c>
      <c r="CC23" s="6">
        <f>[1]Ratios!CC19</f>
        <v>-1014.1602086650091</v>
      </c>
      <c r="CD23" s="6">
        <f>[1]Ratios!CD19</f>
        <v>-14822.594200472842</v>
      </c>
      <c r="CE23" s="6">
        <f>[1]Ratios!CE19</f>
        <v>-917.61207241282682</v>
      </c>
      <c r="CF23" s="6">
        <f>[1]Ratios!CF19</f>
        <v>-430.09072793499217</v>
      </c>
      <c r="CG23" s="6">
        <f>[1]Ratios!CG19</f>
        <v>-1040.2666801990708</v>
      </c>
      <c r="CH23" s="6">
        <f>[1]Ratios!CH19</f>
        <v>14353.512537547445</v>
      </c>
      <c r="CI23" s="6">
        <f>[1]Ratios!CI19</f>
        <v>-2819.4170952374989</v>
      </c>
      <c r="CJ23" s="6">
        <f>[1]Ratios!CJ19</f>
        <v>-883.50819371253601</v>
      </c>
      <c r="CK23" s="6">
        <f>[1]Ratios!CK19</f>
        <v>-814.20038349111564</v>
      </c>
      <c r="CL23" s="6">
        <f>[1]Ratios!CL19</f>
        <v>-15340.178475103021</v>
      </c>
      <c r="CM23" s="6">
        <f>[1]Ratios!CM19</f>
        <v>-836.74793315993156</v>
      </c>
      <c r="CN23" s="6">
        <f>[1]Ratios!CN19</f>
        <v>-52.61328855031752</v>
      </c>
      <c r="CO23" s="6">
        <f>[1]Ratios!CO19</f>
        <v>-1132.9079710416554</v>
      </c>
      <c r="CP23" s="6">
        <f>[1]Ratios!CP19</f>
        <v>14892.383154137817</v>
      </c>
      <c r="CQ23" s="6">
        <f>[1]Ratios!CQ19</f>
        <v>-2980.731698216754</v>
      </c>
      <c r="CR23" s="6">
        <f>[1]Ratios!CR19</f>
        <v>-375.12957406163332</v>
      </c>
      <c r="CS23" s="6">
        <f>[1]Ratios!CS19</f>
        <v>-1031.4805127762957</v>
      </c>
      <c r="CT23" s="6">
        <f>[1]Ratios!CT19</f>
        <v>-16032.894607307127</v>
      </c>
      <c r="CU23" s="6">
        <f>[1]Ratios!CU19</f>
        <v>-926.01212587361806</v>
      </c>
      <c r="CV23" s="6">
        <f>[1]Ratios!CV19</f>
        <v>-388.01128210991737</v>
      </c>
      <c r="CW23" s="6">
        <f>[1]Ratios!CW19</f>
        <v>-1056.7746191539336</v>
      </c>
      <c r="CX23" s="6">
        <f>[1]Ratios!CX19</f>
        <v>15604.507291203219</v>
      </c>
      <c r="CY23" s="6">
        <f>[1]Ratios!CY19</f>
        <v>-2965.6492666270351</v>
      </c>
      <c r="CZ23" s="6">
        <f>[1]Ratios!CZ19</f>
        <v>-875.37997191440081</v>
      </c>
      <c r="DA23" s="6">
        <f>[1]Ratios!DA19</f>
        <v>-809.79907055688091</v>
      </c>
      <c r="DB23" s="6">
        <f>[1]Ratios!DB19</f>
        <v>-16543.765288526833</v>
      </c>
      <c r="DC23" s="6">
        <f>[1]Ratios!DC19</f>
        <v>-832.75456349726301</v>
      </c>
      <c r="DD23" s="6">
        <f>[1]Ratios!DD19</f>
        <v>-57.179205890453886</v>
      </c>
      <c r="DE23" s="6">
        <f>[1]Ratios!DE19</f>
        <v>-1223.5932821446331</v>
      </c>
      <c r="DF23" s="6">
        <f>[1]Ratios!DF19</f>
        <v>16092.991927063442</v>
      </c>
      <c r="DG23" s="6">
        <f>[1]Ratios!DG19</f>
        <v>-3204.2865889378882</v>
      </c>
    </row>
    <row r="24" spans="2:111" ht="18" customHeight="1">
      <c r="B24" s="3" t="s">
        <v>6</v>
      </c>
      <c r="C24" s="4" t="s">
        <v>125</v>
      </c>
      <c r="D24" s="13" t="s">
        <v>141</v>
      </c>
      <c r="G24" s="6">
        <f>[1]Ratios!G20</f>
        <v>-968.87772065263209</v>
      </c>
      <c r="H24" s="7">
        <f>[1]Ratios!H20</f>
        <v>-64197.999560930359</v>
      </c>
      <c r="I24" s="6">
        <f>[1]Ratios!I20</f>
        <v>-346.49164028541315</v>
      </c>
      <c r="J24" s="6">
        <f>[1]Ratios!J20</f>
        <v>-11214.824584793327</v>
      </c>
      <c r="K24" s="6">
        <f>[1]Ratios!K20</f>
        <v>-43101.328501920492</v>
      </c>
      <c r="L24" s="6">
        <f>[1]Ratios!L20</f>
        <v>-16840.448306053811</v>
      </c>
      <c r="M24" s="6">
        <f>[1]Ratios!M20</f>
        <v>-1369.9588251623954</v>
      </c>
      <c r="N24" s="6">
        <f>[1]Ratios!N20</f>
        <v>-86123.346432825507</v>
      </c>
      <c r="O24" s="6">
        <f>[1]Ratios!O20</f>
        <v>-42673.102536693099</v>
      </c>
      <c r="P24" s="6">
        <f>[1]Ratios!P20</f>
        <v>-19574.71072761741</v>
      </c>
      <c r="Q24" s="6">
        <f>[1]Ratios!Q20</f>
        <v>-37560.682847611686</v>
      </c>
      <c r="R24" s="6">
        <f>[1]Ratios!R20</f>
        <v>-49862.712788370307</v>
      </c>
      <c r="S24" s="6">
        <f>[1]Ratios!S20</f>
        <v>-10720.423081314239</v>
      </c>
      <c r="T24" s="6">
        <f>[1]Ratios!T20</f>
        <v>-33523.879469181993</v>
      </c>
      <c r="U24" s="6">
        <f>[1]Ratios!U20</f>
        <v>-17107.559714661304</v>
      </c>
      <c r="V24" s="6">
        <f>[1]Ratios!V20</f>
        <v>-12989.117795150692</v>
      </c>
      <c r="W24" s="6">
        <f>[1]Ratios!W20</f>
        <v>-8581.6953844252748</v>
      </c>
      <c r="X24" s="6">
        <f>[1]Ratios!X20</f>
        <v>-39618.388893925934</v>
      </c>
      <c r="Y24" s="6">
        <f>[1]Ratios!Y20</f>
        <v>-9675.7751456241058</v>
      </c>
      <c r="Z24" s="6">
        <f>[1]Ratios!Z20</f>
        <v>-96356.551731574946</v>
      </c>
      <c r="AA24" s="6">
        <f>[1]Ratios!AA20</f>
        <v>-61386.826230833598</v>
      </c>
      <c r="AB24" s="6">
        <f>[1]Ratios!AB20</f>
        <v>-43071.348620833545</v>
      </c>
      <c r="AC24" s="6">
        <f>[1]Ratios!AC20</f>
        <v>-142923.60224387713</v>
      </c>
      <c r="AD24" s="6">
        <f>[1]Ratios!AD20</f>
        <v>-70053.044526431317</v>
      </c>
      <c r="AE24" s="6">
        <f>[1]Ratios!AE20</f>
        <v>-264438.11714597093</v>
      </c>
      <c r="AF24" s="6">
        <f>[1]Ratios!AF20</f>
        <v>-140574.46145520904</v>
      </c>
      <c r="AG24" s="6">
        <f>[1]Ratios!AG20</f>
        <v>-58701.710319205013</v>
      </c>
      <c r="AH24" s="6">
        <f>[1]Ratios!AH20</f>
        <v>-77134.821609349863</v>
      </c>
      <c r="AI24" s="6">
        <f>[1]Ratios!AI20</f>
        <v>-71183.138982386008</v>
      </c>
      <c r="AJ24" s="6">
        <f>[1]Ratios!AJ20</f>
        <v>-198113.93269462642</v>
      </c>
      <c r="AK24" s="6">
        <f>[1]Ratios!AK20</f>
        <v>0</v>
      </c>
      <c r="AL24" s="6">
        <f>[1]Ratios!AL20</f>
        <v>0</v>
      </c>
      <c r="AM24" s="6">
        <f>[1]Ratios!AM20</f>
        <v>0</v>
      </c>
      <c r="AN24" s="6">
        <f>[1]Ratios!AN20</f>
        <v>0</v>
      </c>
      <c r="AO24" s="6">
        <f>[1]Ratios!AO20</f>
        <v>0</v>
      </c>
      <c r="AP24" s="6">
        <f>[1]Ratios!AP20</f>
        <v>0</v>
      </c>
      <c r="AQ24" s="6">
        <f>[1]Ratios!AQ20</f>
        <v>0</v>
      </c>
      <c r="AR24" s="6">
        <f>[1]Ratios!AR20</f>
        <v>0</v>
      </c>
      <c r="AS24" s="6">
        <f>[1]Ratios!AS20</f>
        <v>0</v>
      </c>
      <c r="AT24" s="6">
        <f>[1]Ratios!AT20</f>
        <v>-9080.872566113836</v>
      </c>
      <c r="AU24" s="6">
        <f>[1]Ratios!AU20</f>
        <v>0</v>
      </c>
      <c r="AV24" s="6">
        <f>[1]Ratios!AV20</f>
        <v>0</v>
      </c>
      <c r="AW24" s="6">
        <f>[1]Ratios!AW20</f>
        <v>0</v>
      </c>
      <c r="AX24" s="6">
        <f>[1]Ratios!AX20</f>
        <v>0</v>
      </c>
      <c r="AY24" s="6">
        <f>[1]Ratios!AY20</f>
        <v>0</v>
      </c>
      <c r="AZ24" s="6">
        <f>[1]Ratios!AZ20</f>
        <v>0</v>
      </c>
      <c r="BA24" s="6">
        <f>[1]Ratios!BA20</f>
        <v>0</v>
      </c>
      <c r="BB24" s="6">
        <f>[1]Ratios!BB20</f>
        <v>-9171.2317326103366</v>
      </c>
      <c r="BC24" s="6">
        <f>[1]Ratios!BC20</f>
        <v>0</v>
      </c>
      <c r="BD24" s="6">
        <f>[1]Ratios!BD20</f>
        <v>0</v>
      </c>
      <c r="BE24" s="6">
        <f>[1]Ratios!BE20</f>
        <v>0</v>
      </c>
      <c r="BF24" s="6">
        <f>[1]Ratios!BF20</f>
        <v>0</v>
      </c>
      <c r="BG24" s="6">
        <f>[1]Ratios!BG20</f>
        <v>0</v>
      </c>
      <c r="BH24" s="6">
        <f>[1]Ratios!BH20</f>
        <v>0</v>
      </c>
      <c r="BI24" s="6">
        <f>[1]Ratios!BI20</f>
        <v>0</v>
      </c>
      <c r="BJ24" s="6">
        <f>[1]Ratios!BJ20</f>
        <v>-9262.4900174361064</v>
      </c>
      <c r="BK24" s="6">
        <f>[1]Ratios!BK20</f>
        <v>0</v>
      </c>
      <c r="BL24" s="6">
        <f>[1]Ratios!BL20</f>
        <v>0</v>
      </c>
      <c r="BM24" s="6">
        <f>[1]Ratios!BM20</f>
        <v>0</v>
      </c>
      <c r="BN24" s="6">
        <f>[1]Ratios!BN20</f>
        <v>0</v>
      </c>
      <c r="BO24" s="6">
        <f>[1]Ratios!BO20</f>
        <v>0</v>
      </c>
      <c r="BP24" s="6">
        <f>[1]Ratios!BP20</f>
        <v>0</v>
      </c>
      <c r="BQ24" s="6">
        <f>[1]Ratios!BQ20</f>
        <v>0</v>
      </c>
      <c r="BR24" s="6">
        <f>[1]Ratios!BR20</f>
        <v>-9354.6563672625398</v>
      </c>
      <c r="BS24" s="6">
        <f>[1]Ratios!BS20</f>
        <v>0</v>
      </c>
      <c r="BT24" s="6">
        <f>[1]Ratios!BT20</f>
        <v>0</v>
      </c>
      <c r="BU24" s="6">
        <f>[1]Ratios!BU20</f>
        <v>0</v>
      </c>
      <c r="BV24" s="6">
        <f>[1]Ratios!BV20</f>
        <v>0</v>
      </c>
      <c r="BW24" s="6">
        <f>[1]Ratios!BW20</f>
        <v>0</v>
      </c>
      <c r="BX24" s="6">
        <f>[1]Ratios!BX20</f>
        <v>0</v>
      </c>
      <c r="BY24" s="6">
        <f>[1]Ratios!BY20</f>
        <v>0</v>
      </c>
      <c r="BZ24" s="6">
        <f>[1]Ratios!BZ20</f>
        <v>-9553.8288376168075</v>
      </c>
      <c r="CA24" s="6">
        <f>[1]Ratios!CA20</f>
        <v>0</v>
      </c>
      <c r="CB24" s="6">
        <f>[1]Ratios!CB20</f>
        <v>0</v>
      </c>
      <c r="CC24" s="6">
        <f>[1]Ratios!CC20</f>
        <v>0</v>
      </c>
      <c r="CD24" s="6">
        <f>[1]Ratios!CD20</f>
        <v>0</v>
      </c>
      <c r="CE24" s="6">
        <f>[1]Ratios!CE20</f>
        <v>0</v>
      </c>
      <c r="CF24" s="6">
        <f>[1]Ratios!CF20</f>
        <v>0</v>
      </c>
      <c r="CG24" s="6">
        <f>[1]Ratios!CG20</f>
        <v>0</v>
      </c>
      <c r="CH24" s="6">
        <f>[1]Ratios!CH20</f>
        <v>-9940.5319783393534</v>
      </c>
      <c r="CI24" s="6">
        <f>[1]Ratios!CI20</f>
        <v>0</v>
      </c>
      <c r="CJ24" s="6">
        <f>[1]Ratios!CJ20</f>
        <v>0</v>
      </c>
      <c r="CK24" s="6">
        <f>[1]Ratios!CK20</f>
        <v>0</v>
      </c>
      <c r="CL24" s="6">
        <f>[1]Ratios!CL20</f>
        <v>0</v>
      </c>
      <c r="CM24" s="6">
        <f>[1]Ratios!CM20</f>
        <v>0</v>
      </c>
      <c r="CN24" s="6">
        <f>[1]Ratios!CN20</f>
        <v>0</v>
      </c>
      <c r="CO24" s="6">
        <f>[1]Ratios!CO20</f>
        <v>0</v>
      </c>
      <c r="CP24" s="6">
        <f>[1]Ratios!CP20</f>
        <v>-10342.887411099609</v>
      </c>
      <c r="CQ24" s="6">
        <f>[1]Ratios!CQ20</f>
        <v>0</v>
      </c>
      <c r="CR24" s="6">
        <f>[1]Ratios!CR20</f>
        <v>0</v>
      </c>
      <c r="CS24" s="6">
        <f>[1]Ratios!CS20</f>
        <v>0</v>
      </c>
      <c r="CT24" s="6">
        <f>[1]Ratios!CT20</f>
        <v>0</v>
      </c>
      <c r="CU24" s="6">
        <f>[1]Ratios!CU20</f>
        <v>0</v>
      </c>
      <c r="CV24" s="6">
        <f>[1]Ratios!CV20</f>
        <v>0</v>
      </c>
      <c r="CW24" s="6">
        <f>[1]Ratios!CW20</f>
        <v>0</v>
      </c>
      <c r="CX24" s="6">
        <f>[1]Ratios!CX20</f>
        <v>-10761.52868194423</v>
      </c>
      <c r="CY24" s="6">
        <f>[1]Ratios!CY20</f>
        <v>0</v>
      </c>
      <c r="CZ24" s="6">
        <f>[1]Ratios!CZ20</f>
        <v>0</v>
      </c>
      <c r="DA24" s="6">
        <f>[1]Ratios!DA20</f>
        <v>0</v>
      </c>
      <c r="DB24" s="6">
        <f>[1]Ratios!DB20</f>
        <v>0</v>
      </c>
      <c r="DC24" s="6">
        <f>[1]Ratios!DC20</f>
        <v>0</v>
      </c>
      <c r="DD24" s="6">
        <f>[1]Ratios!DD20</f>
        <v>0</v>
      </c>
      <c r="DE24" s="6">
        <f>[1]Ratios!DE20</f>
        <v>0</v>
      </c>
      <c r="DF24" s="6">
        <f>[1]Ratios!DF20</f>
        <v>-11197.114980486465</v>
      </c>
      <c r="DG24" s="6">
        <f>[1]Ratios!DG20</f>
        <v>0</v>
      </c>
    </row>
    <row r="25" spans="2:111" ht="18" customHeight="1">
      <c r="B25" s="1" t="s">
        <v>7</v>
      </c>
      <c r="C25" s="2" t="s">
        <v>125</v>
      </c>
      <c r="D25" s="3" t="s">
        <v>152</v>
      </c>
      <c r="G25" s="10">
        <f t="shared" ref="G25:AL25" si="24">G22-G19+G23+G24</f>
        <v>-1042.7313364785659</v>
      </c>
      <c r="H25" s="10">
        <f t="shared" si="24"/>
        <v>-64623.875232413055</v>
      </c>
      <c r="I25" s="10">
        <f t="shared" si="24"/>
        <v>13553.063092511464</v>
      </c>
      <c r="J25" s="10">
        <f t="shared" si="24"/>
        <v>-21004.582863071992</v>
      </c>
      <c r="K25" s="10">
        <f t="shared" si="24"/>
        <v>-45817.644089959402</v>
      </c>
      <c r="L25" s="10">
        <f t="shared" si="24"/>
        <v>-15439.08717812374</v>
      </c>
      <c r="M25" s="10">
        <f t="shared" si="24"/>
        <v>1648.772313998099</v>
      </c>
      <c r="N25" s="10">
        <f t="shared" si="24"/>
        <v>-90209.123039407234</v>
      </c>
      <c r="O25" s="10">
        <f t="shared" si="24"/>
        <v>-40149.112398587466</v>
      </c>
      <c r="P25" s="10">
        <f t="shared" si="24"/>
        <v>-19689.822496704932</v>
      </c>
      <c r="Q25" s="10">
        <f t="shared" si="24"/>
        <v>-43489.519761188465</v>
      </c>
      <c r="R25" s="10">
        <f t="shared" si="24"/>
        <v>-49922.902383888329</v>
      </c>
      <c r="S25" s="10">
        <f t="shared" si="24"/>
        <v>-12170.881977163559</v>
      </c>
      <c r="T25" s="10">
        <f t="shared" si="24"/>
        <v>-33975.808137815271</v>
      </c>
      <c r="U25" s="10">
        <f t="shared" si="24"/>
        <v>-19570.497052733339</v>
      </c>
      <c r="V25" s="10">
        <f t="shared" si="24"/>
        <v>-13469.350558747685</v>
      </c>
      <c r="W25" s="10">
        <f t="shared" si="24"/>
        <v>-9566.2731370426627</v>
      </c>
      <c r="X25" s="10">
        <f t="shared" si="24"/>
        <v>-41986.992501010674</v>
      </c>
      <c r="Y25" s="10">
        <f t="shared" si="24"/>
        <v>-17274.488378591446</v>
      </c>
      <c r="Z25" s="10">
        <f t="shared" si="24"/>
        <v>-103944.56853923133</v>
      </c>
      <c r="AA25" s="10">
        <f t="shared" si="24"/>
        <v>-60757.125400595905</v>
      </c>
      <c r="AB25" s="10">
        <f t="shared" si="24"/>
        <v>-37164.397143759583</v>
      </c>
      <c r="AC25" s="10">
        <f t="shared" si="24"/>
        <v>-155149.04601417063</v>
      </c>
      <c r="AD25" s="10">
        <f t="shared" si="24"/>
        <v>-68345.096321492383</v>
      </c>
      <c r="AE25" s="10">
        <f t="shared" si="24"/>
        <v>-279992.51622008602</v>
      </c>
      <c r="AF25" s="10">
        <f t="shared" si="24"/>
        <v>-135010.06314654107</v>
      </c>
      <c r="AG25" s="10">
        <f t="shared" si="24"/>
        <v>-50910.507832703821</v>
      </c>
      <c r="AH25" s="10">
        <f t="shared" si="24"/>
        <v>-77898.0299160047</v>
      </c>
      <c r="AI25" s="10">
        <f t="shared" si="24"/>
        <v>-69932.059335914193</v>
      </c>
      <c r="AJ25" s="10">
        <f t="shared" si="24"/>
        <v>-213665.74360952305</v>
      </c>
      <c r="AK25" s="10">
        <f t="shared" si="24"/>
        <v>64654.900497801056</v>
      </c>
      <c r="AL25" s="10">
        <f t="shared" si="24"/>
        <v>32662.902104281435</v>
      </c>
      <c r="AM25" s="10">
        <f t="shared" ref="AM25:BR25" si="25">AM22-AM19+AM23+AM24</f>
        <v>37031.240551347233</v>
      </c>
      <c r="AN25" s="10">
        <f t="shared" si="25"/>
        <v>59745.866325139636</v>
      </c>
      <c r="AO25" s="10">
        <f t="shared" si="25"/>
        <v>88308.41697772796</v>
      </c>
      <c r="AP25" s="10">
        <f t="shared" si="25"/>
        <v>82641.334615120039</v>
      </c>
      <c r="AQ25" s="10">
        <f t="shared" si="25"/>
        <v>87429.147373902902</v>
      </c>
      <c r="AR25" s="10">
        <f t="shared" si="25"/>
        <v>96240.775927003182</v>
      </c>
      <c r="AS25" s="10">
        <f t="shared" si="25"/>
        <v>97392.064237735263</v>
      </c>
      <c r="AT25" s="10">
        <f t="shared" si="25"/>
        <v>58500.056604247213</v>
      </c>
      <c r="AU25" s="10">
        <f t="shared" si="25"/>
        <v>95362.226669722935</v>
      </c>
      <c r="AV25" s="10">
        <f t="shared" si="25"/>
        <v>101905.86664602478</v>
      </c>
      <c r="AW25" s="10">
        <f t="shared" si="25"/>
        <v>103698.75395315577</v>
      </c>
      <c r="AX25" s="10">
        <f t="shared" si="25"/>
        <v>87748.5177381791</v>
      </c>
      <c r="AY25" s="10">
        <f t="shared" si="25"/>
        <v>104125.67459011878</v>
      </c>
      <c r="AZ25" s="10">
        <f t="shared" si="25"/>
        <v>104969.93849040823</v>
      </c>
      <c r="BA25" s="10">
        <f t="shared" si="25"/>
        <v>106983.83975502651</v>
      </c>
      <c r="BB25" s="10">
        <f t="shared" si="25"/>
        <v>66299.749701105044</v>
      </c>
      <c r="BC25" s="10">
        <f t="shared" si="25"/>
        <v>106094.78812683027</v>
      </c>
      <c r="BD25" s="10">
        <f t="shared" si="25"/>
        <v>95587.993024363852</v>
      </c>
      <c r="BE25" s="10">
        <f t="shared" si="25"/>
        <v>96742.416333992238</v>
      </c>
      <c r="BF25" s="10">
        <f t="shared" si="25"/>
        <v>80479.608247002645</v>
      </c>
      <c r="BG25" s="10">
        <f t="shared" si="25"/>
        <v>97212.778634283226</v>
      </c>
      <c r="BH25" s="10">
        <f t="shared" si="25"/>
        <v>97572.252507960919</v>
      </c>
      <c r="BI25" s="10">
        <f t="shared" si="25"/>
        <v>99021.194185699336</v>
      </c>
      <c r="BJ25" s="10">
        <f t="shared" si="25"/>
        <v>62350.924301485604</v>
      </c>
      <c r="BK25" s="10">
        <f t="shared" si="25"/>
        <v>98035.144335689896</v>
      </c>
      <c r="BL25" s="10">
        <f t="shared" si="25"/>
        <v>99833.583672624285</v>
      </c>
      <c r="BM25" s="10">
        <f t="shared" si="25"/>
        <v>101692.51316483651</v>
      </c>
      <c r="BN25" s="10">
        <f t="shared" si="25"/>
        <v>84834.994190101803</v>
      </c>
      <c r="BO25" s="10">
        <f t="shared" si="25"/>
        <v>102321.12762113925</v>
      </c>
      <c r="BP25" s="10">
        <f t="shared" si="25"/>
        <v>102424.20774854222</v>
      </c>
      <c r="BQ25" s="10">
        <f t="shared" si="25"/>
        <v>104328.13348320778</v>
      </c>
      <c r="BR25" s="10">
        <f t="shared" si="25"/>
        <v>66274.800478911624</v>
      </c>
      <c r="BS25" s="10">
        <f t="shared" ref="BS25:CX25" si="26">BS22-BS19+BS23+BS24</f>
        <v>103267.16420084386</v>
      </c>
      <c r="BT25" s="10">
        <f t="shared" si="26"/>
        <v>105496.68096295842</v>
      </c>
      <c r="BU25" s="10">
        <f t="shared" si="26"/>
        <v>106753.32826561695</v>
      </c>
      <c r="BV25" s="10">
        <f t="shared" si="26"/>
        <v>89041.622442694104</v>
      </c>
      <c r="BW25" s="10">
        <f t="shared" si="26"/>
        <v>107303.29343995935</v>
      </c>
      <c r="BX25" s="10">
        <f t="shared" si="26"/>
        <v>90263.950445779483</v>
      </c>
      <c r="BY25" s="10">
        <f t="shared" si="26"/>
        <v>91507.697452464156</v>
      </c>
      <c r="BZ25" s="10">
        <f t="shared" si="26"/>
        <v>58625.185819832026</v>
      </c>
      <c r="CA25" s="10">
        <f t="shared" si="26"/>
        <v>90363.870691081727</v>
      </c>
      <c r="CB25" s="10">
        <f t="shared" si="26"/>
        <v>91686.45182139767</v>
      </c>
      <c r="CC25" s="10">
        <f t="shared" si="26"/>
        <v>93376.839582830187</v>
      </c>
      <c r="CD25" s="10">
        <f t="shared" si="26"/>
        <v>75763.073516374046</v>
      </c>
      <c r="CE25" s="10">
        <f t="shared" si="26"/>
        <v>94096.13850603906</v>
      </c>
      <c r="CF25" s="10">
        <f t="shared" si="26"/>
        <v>94098.072337180914</v>
      </c>
      <c r="CG25" s="10">
        <f t="shared" si="26"/>
        <v>95824.569082710834</v>
      </c>
      <c r="CH25" s="10">
        <f t="shared" si="26"/>
        <v>61494.105319696275</v>
      </c>
      <c r="CI25" s="10">
        <f t="shared" si="26"/>
        <v>94662.779779620716</v>
      </c>
      <c r="CJ25" s="10">
        <f t="shared" si="26"/>
        <v>97024.416354222572</v>
      </c>
      <c r="CK25" s="10">
        <f t="shared" si="26"/>
        <v>98250.87219321153</v>
      </c>
      <c r="CL25" s="10">
        <f t="shared" si="26"/>
        <v>79768.826663346874</v>
      </c>
      <c r="CM25" s="10">
        <f t="shared" si="26"/>
        <v>98874.069145815913</v>
      </c>
      <c r="CN25" s="10">
        <f t="shared" si="26"/>
        <v>99236.5788810675</v>
      </c>
      <c r="CO25" s="10">
        <f t="shared" si="26"/>
        <v>100588.78474896688</v>
      </c>
      <c r="CP25" s="10">
        <f t="shared" si="26"/>
        <v>64775.090986706171</v>
      </c>
      <c r="CQ25" s="10">
        <f t="shared" si="26"/>
        <v>99383.738268401445</v>
      </c>
      <c r="CR25" s="10">
        <f t="shared" si="26"/>
        <v>101240.09132258725</v>
      </c>
      <c r="CS25" s="10">
        <f t="shared" si="26"/>
        <v>103064.05089615929</v>
      </c>
      <c r="CT25" s="10">
        <f t="shared" si="26"/>
        <v>83948.875875691534</v>
      </c>
      <c r="CU25" s="10">
        <f t="shared" si="26"/>
        <v>103844.6199965319</v>
      </c>
      <c r="CV25" s="10">
        <f t="shared" si="26"/>
        <v>103614.65412569969</v>
      </c>
      <c r="CW25" s="10">
        <f t="shared" si="26"/>
        <v>105474.59382728158</v>
      </c>
      <c r="CX25" s="10">
        <f t="shared" si="26"/>
        <v>68164.728257470866</v>
      </c>
      <c r="CY25" s="10">
        <f t="shared" ref="CY25:DG25" si="27">CY22-CY19+CY23+CY24</f>
        <v>104230.27170795179</v>
      </c>
      <c r="CZ25" s="10">
        <f t="shared" si="27"/>
        <v>106538.32241167594</v>
      </c>
      <c r="DA25" s="10">
        <f t="shared" si="27"/>
        <v>107849.79624669853</v>
      </c>
      <c r="DB25" s="10">
        <f t="shared" si="27"/>
        <v>87831.753147505224</v>
      </c>
      <c r="DC25" s="10">
        <f t="shared" si="27"/>
        <v>108517.24708499681</v>
      </c>
      <c r="DD25" s="10">
        <f t="shared" si="27"/>
        <v>108822.40089612176</v>
      </c>
      <c r="DE25" s="10">
        <f t="shared" si="27"/>
        <v>110284.73274753774</v>
      </c>
      <c r="DF25" s="10">
        <f t="shared" si="27"/>
        <v>71411.416761451575</v>
      </c>
      <c r="DG25" s="10">
        <f t="shared" si="27"/>
        <v>108991.18373198813</v>
      </c>
    </row>
    <row r="26" spans="2:111" ht="18" customHeight="1">
      <c r="B26" s="3" t="s">
        <v>8</v>
      </c>
      <c r="C26" s="4" t="s">
        <v>125</v>
      </c>
      <c r="D26" s="13" t="s">
        <v>141</v>
      </c>
      <c r="G26" s="6">
        <f>[1]Ratios!G22</f>
        <v>0</v>
      </c>
      <c r="H26" s="6">
        <f>[1]Ratios!H22</f>
        <v>0</v>
      </c>
      <c r="I26" s="6">
        <f>[1]Ratios!I22</f>
        <v>0</v>
      </c>
      <c r="J26" s="6">
        <f>[1]Ratios!J22</f>
        <v>0</v>
      </c>
      <c r="K26" s="6">
        <f>[1]Ratios!K22</f>
        <v>0</v>
      </c>
      <c r="L26" s="6">
        <f>[1]Ratios!L22</f>
        <v>0</v>
      </c>
      <c r="M26" s="6">
        <f>[1]Ratios!M22</f>
        <v>0</v>
      </c>
      <c r="N26" s="6">
        <f>[1]Ratios!N22</f>
        <v>0</v>
      </c>
      <c r="O26" s="6">
        <f>[1]Ratios!O22</f>
        <v>0</v>
      </c>
      <c r="P26" s="6">
        <f>[1]Ratios!P22</f>
        <v>0</v>
      </c>
      <c r="Q26" s="6">
        <f>[1]Ratios!Q22</f>
        <v>0</v>
      </c>
      <c r="R26" s="6">
        <f>[1]Ratios!R22</f>
        <v>0</v>
      </c>
      <c r="S26" s="6">
        <f>[1]Ratios!S22</f>
        <v>0</v>
      </c>
      <c r="T26" s="6">
        <f>[1]Ratios!T22</f>
        <v>0</v>
      </c>
      <c r="U26" s="6">
        <f>[1]Ratios!U22</f>
        <v>0</v>
      </c>
      <c r="V26" s="6">
        <f>[1]Ratios!V22</f>
        <v>0</v>
      </c>
      <c r="W26" s="6">
        <f>[1]Ratios!W22</f>
        <v>0</v>
      </c>
      <c r="X26" s="6">
        <f>[1]Ratios!X22</f>
        <v>0</v>
      </c>
      <c r="Y26" s="6">
        <f>[1]Ratios!Y22</f>
        <v>0</v>
      </c>
      <c r="Z26" s="6">
        <f>[1]Ratios!Z22</f>
        <v>0</v>
      </c>
      <c r="AA26" s="6">
        <f>[1]Ratios!AA22</f>
        <v>0</v>
      </c>
      <c r="AB26" s="6">
        <f>[1]Ratios!AB22</f>
        <v>0</v>
      </c>
      <c r="AC26" s="6">
        <f>[1]Ratios!AC22</f>
        <v>0</v>
      </c>
      <c r="AD26" s="6">
        <f>[1]Ratios!AD22</f>
        <v>0</v>
      </c>
      <c r="AE26" s="6">
        <f>[1]Ratios!AE22</f>
        <v>0</v>
      </c>
      <c r="AF26" s="6">
        <f>[1]Ratios!AF22</f>
        <v>0</v>
      </c>
      <c r="AG26" s="6">
        <f>[1]Ratios!AG22</f>
        <v>0</v>
      </c>
      <c r="AH26" s="6">
        <f>[1]Ratios!AH22</f>
        <v>0</v>
      </c>
      <c r="AI26" s="6">
        <f>[1]Ratios!AI22</f>
        <v>0</v>
      </c>
      <c r="AJ26" s="6">
        <f>[1]Ratios!AJ22</f>
        <v>0</v>
      </c>
      <c r="AK26" s="6">
        <f>[1]Ratios!AK22</f>
        <v>0</v>
      </c>
      <c r="AL26" s="6">
        <f>[1]Ratios!AL22</f>
        <v>0</v>
      </c>
      <c r="AM26" s="6">
        <f>[1]Ratios!AM22</f>
        <v>0</v>
      </c>
      <c r="AN26" s="6">
        <f>[1]Ratios!AN22</f>
        <v>0</v>
      </c>
      <c r="AO26" s="6">
        <f>[1]Ratios!AO22</f>
        <v>0</v>
      </c>
      <c r="AP26" s="6">
        <f>[1]Ratios!AP22</f>
        <v>0</v>
      </c>
      <c r="AQ26" s="6">
        <f>[1]Ratios!AQ22</f>
        <v>0</v>
      </c>
      <c r="AR26" s="6">
        <f>[1]Ratios!AR22</f>
        <v>0</v>
      </c>
      <c r="AS26" s="6">
        <f>[1]Ratios!AS22</f>
        <v>0</v>
      </c>
      <c r="AT26" s="6">
        <f>[1]Ratios!AT22</f>
        <v>0</v>
      </c>
      <c r="AU26" s="6">
        <f>[1]Ratios!AU22</f>
        <v>0</v>
      </c>
      <c r="AV26" s="6">
        <f>[1]Ratios!AV22</f>
        <v>0</v>
      </c>
      <c r="AW26" s="6">
        <f>[1]Ratios!AW22</f>
        <v>0</v>
      </c>
      <c r="AX26" s="6">
        <f>[1]Ratios!AX22</f>
        <v>0</v>
      </c>
      <c r="AY26" s="6">
        <f>[1]Ratios!AY22</f>
        <v>0</v>
      </c>
      <c r="AZ26" s="6">
        <f>[1]Ratios!AZ22</f>
        <v>0</v>
      </c>
      <c r="BA26" s="6">
        <f>[1]Ratios!BA22</f>
        <v>0</v>
      </c>
      <c r="BB26" s="6">
        <f>[1]Ratios!BB22</f>
        <v>0</v>
      </c>
      <c r="BC26" s="6">
        <f>[1]Ratios!BC22</f>
        <v>0</v>
      </c>
      <c r="BD26" s="6">
        <f>[1]Ratios!BD22</f>
        <v>0</v>
      </c>
      <c r="BE26" s="6">
        <f>[1]Ratios!BE22</f>
        <v>0</v>
      </c>
      <c r="BF26" s="6">
        <f>[1]Ratios!BF22</f>
        <v>0</v>
      </c>
      <c r="BG26" s="6">
        <f>[1]Ratios!BG22</f>
        <v>0</v>
      </c>
      <c r="BH26" s="6">
        <f>[1]Ratios!BH22</f>
        <v>0</v>
      </c>
      <c r="BI26" s="6">
        <f>[1]Ratios!BI22</f>
        <v>0</v>
      </c>
      <c r="BJ26" s="6">
        <f>[1]Ratios!BJ22</f>
        <v>0</v>
      </c>
      <c r="BK26" s="6">
        <f>[1]Ratios!BK22</f>
        <v>0</v>
      </c>
      <c r="BL26" s="6">
        <f>[1]Ratios!BL22</f>
        <v>0</v>
      </c>
      <c r="BM26" s="6">
        <f>[1]Ratios!BM22</f>
        <v>0</v>
      </c>
      <c r="BN26" s="6">
        <f>[1]Ratios!BN22</f>
        <v>0</v>
      </c>
      <c r="BO26" s="6">
        <f>[1]Ratios!BO22</f>
        <v>0</v>
      </c>
      <c r="BP26" s="6">
        <f>[1]Ratios!BP22</f>
        <v>0</v>
      </c>
      <c r="BQ26" s="6">
        <f>[1]Ratios!BQ22</f>
        <v>0</v>
      </c>
      <c r="BR26" s="6">
        <f>[1]Ratios!BR22</f>
        <v>0</v>
      </c>
      <c r="BS26" s="6">
        <f>[1]Ratios!BS22</f>
        <v>0</v>
      </c>
      <c r="BT26" s="6">
        <f>[1]Ratios!BT22</f>
        <v>0</v>
      </c>
      <c r="BU26" s="6">
        <f>[1]Ratios!BU22</f>
        <v>0</v>
      </c>
      <c r="BV26" s="6">
        <f>[1]Ratios!BV22</f>
        <v>0</v>
      </c>
      <c r="BW26" s="6">
        <f>[1]Ratios!BW22</f>
        <v>0</v>
      </c>
      <c r="BX26" s="6">
        <f>[1]Ratios!BX22</f>
        <v>0</v>
      </c>
      <c r="BY26" s="6">
        <f>[1]Ratios!BY22</f>
        <v>0</v>
      </c>
      <c r="BZ26" s="6">
        <f>[1]Ratios!BZ22</f>
        <v>0</v>
      </c>
      <c r="CA26" s="6">
        <f>[1]Ratios!CA22</f>
        <v>0</v>
      </c>
      <c r="CB26" s="6">
        <f>[1]Ratios!CB22</f>
        <v>0</v>
      </c>
      <c r="CC26" s="6">
        <f>[1]Ratios!CC22</f>
        <v>0</v>
      </c>
      <c r="CD26" s="6">
        <f>[1]Ratios!CD22</f>
        <v>0</v>
      </c>
      <c r="CE26" s="6">
        <f>[1]Ratios!CE22</f>
        <v>0</v>
      </c>
      <c r="CF26" s="6">
        <f>[1]Ratios!CF22</f>
        <v>0</v>
      </c>
      <c r="CG26" s="6">
        <f>[1]Ratios!CG22</f>
        <v>0</v>
      </c>
      <c r="CH26" s="6">
        <f>[1]Ratios!CH22</f>
        <v>0</v>
      </c>
      <c r="CI26" s="6">
        <f>[1]Ratios!CI22</f>
        <v>0</v>
      </c>
      <c r="CJ26" s="6">
        <f>[1]Ratios!CJ22</f>
        <v>0</v>
      </c>
      <c r="CK26" s="6">
        <f>[1]Ratios!CK22</f>
        <v>0</v>
      </c>
      <c r="CL26" s="6">
        <f>[1]Ratios!CL22</f>
        <v>0</v>
      </c>
      <c r="CM26" s="6">
        <f>[1]Ratios!CM22</f>
        <v>0</v>
      </c>
      <c r="CN26" s="6">
        <f>[1]Ratios!CN22</f>
        <v>0</v>
      </c>
      <c r="CO26" s="6">
        <f>[1]Ratios!CO22</f>
        <v>0</v>
      </c>
      <c r="CP26" s="6">
        <f>[1]Ratios!CP22</f>
        <v>0</v>
      </c>
      <c r="CQ26" s="6">
        <f>[1]Ratios!CQ22</f>
        <v>0</v>
      </c>
      <c r="CR26" s="6">
        <f>[1]Ratios!CR22</f>
        <v>0</v>
      </c>
      <c r="CS26" s="6">
        <f>[1]Ratios!CS22</f>
        <v>0</v>
      </c>
      <c r="CT26" s="6">
        <f>[1]Ratios!CT22</f>
        <v>0</v>
      </c>
      <c r="CU26" s="6">
        <f>[1]Ratios!CU22</f>
        <v>0</v>
      </c>
      <c r="CV26" s="6">
        <f>[1]Ratios!CV22</f>
        <v>0</v>
      </c>
      <c r="CW26" s="6">
        <f>[1]Ratios!CW22</f>
        <v>0</v>
      </c>
      <c r="CX26" s="6">
        <f>[1]Ratios!CX22</f>
        <v>0</v>
      </c>
      <c r="CY26" s="6">
        <f>[1]Ratios!CY22</f>
        <v>0</v>
      </c>
      <c r="CZ26" s="6">
        <f>[1]Ratios!CZ22</f>
        <v>0</v>
      </c>
      <c r="DA26" s="6">
        <f>[1]Ratios!DA22</f>
        <v>0</v>
      </c>
      <c r="DB26" s="6">
        <f>[1]Ratios!DB22</f>
        <v>0</v>
      </c>
      <c r="DC26" s="6">
        <f>[1]Ratios!DC22</f>
        <v>0</v>
      </c>
      <c r="DD26" s="6">
        <f>[1]Ratios!DD22</f>
        <v>0</v>
      </c>
      <c r="DE26" s="6">
        <f>[1]Ratios!DE22</f>
        <v>0</v>
      </c>
      <c r="DF26" s="6">
        <f>[1]Ratios!DF22</f>
        <v>0</v>
      </c>
      <c r="DG26" s="6">
        <f>[1]Ratios!DG22</f>
        <v>3589786.3745270474</v>
      </c>
    </row>
    <row r="27" spans="2:111" ht="18" customHeight="1">
      <c r="B27" s="1" t="s">
        <v>9</v>
      </c>
      <c r="C27" s="2" t="s">
        <v>125</v>
      </c>
      <c r="D27" s="3" t="s">
        <v>148</v>
      </c>
      <c r="E27" s="1"/>
      <c r="F27" s="1"/>
      <c r="G27" s="10">
        <f t="shared" ref="G27:AL27" si="28">G25+G26</f>
        <v>-1042.7313364785659</v>
      </c>
      <c r="H27" s="10">
        <f t="shared" si="28"/>
        <v>-64623.875232413055</v>
      </c>
      <c r="I27" s="10">
        <f t="shared" si="28"/>
        <v>13553.063092511464</v>
      </c>
      <c r="J27" s="10">
        <f t="shared" si="28"/>
        <v>-21004.582863071992</v>
      </c>
      <c r="K27" s="10">
        <f t="shared" si="28"/>
        <v>-45817.644089959402</v>
      </c>
      <c r="L27" s="10">
        <f t="shared" si="28"/>
        <v>-15439.08717812374</v>
      </c>
      <c r="M27" s="10">
        <f t="shared" si="28"/>
        <v>1648.772313998099</v>
      </c>
      <c r="N27" s="10">
        <f t="shared" si="28"/>
        <v>-90209.123039407234</v>
      </c>
      <c r="O27" s="10">
        <f t="shared" si="28"/>
        <v>-40149.112398587466</v>
      </c>
      <c r="P27" s="10">
        <f t="shared" si="28"/>
        <v>-19689.822496704932</v>
      </c>
      <c r="Q27" s="10">
        <f t="shared" si="28"/>
        <v>-43489.519761188465</v>
      </c>
      <c r="R27" s="10">
        <f t="shared" si="28"/>
        <v>-49922.902383888329</v>
      </c>
      <c r="S27" s="10">
        <f t="shared" si="28"/>
        <v>-12170.881977163559</v>
      </c>
      <c r="T27" s="10">
        <f t="shared" si="28"/>
        <v>-33975.808137815271</v>
      </c>
      <c r="U27" s="10">
        <f t="shared" si="28"/>
        <v>-19570.497052733339</v>
      </c>
      <c r="V27" s="10">
        <f t="shared" si="28"/>
        <v>-13469.350558747685</v>
      </c>
      <c r="W27" s="10">
        <f t="shared" si="28"/>
        <v>-9566.2731370426627</v>
      </c>
      <c r="X27" s="10">
        <f t="shared" si="28"/>
        <v>-41986.992501010674</v>
      </c>
      <c r="Y27" s="10">
        <f t="shared" si="28"/>
        <v>-17274.488378591446</v>
      </c>
      <c r="Z27" s="10">
        <f t="shared" si="28"/>
        <v>-103944.56853923133</v>
      </c>
      <c r="AA27" s="10">
        <f t="shared" si="28"/>
        <v>-60757.125400595905</v>
      </c>
      <c r="AB27" s="10">
        <f t="shared" si="28"/>
        <v>-37164.397143759583</v>
      </c>
      <c r="AC27" s="10">
        <f t="shared" si="28"/>
        <v>-155149.04601417063</v>
      </c>
      <c r="AD27" s="10">
        <f t="shared" si="28"/>
        <v>-68345.096321492383</v>
      </c>
      <c r="AE27" s="10">
        <f t="shared" si="28"/>
        <v>-279992.51622008602</v>
      </c>
      <c r="AF27" s="10">
        <f t="shared" si="28"/>
        <v>-135010.06314654107</v>
      </c>
      <c r="AG27" s="10">
        <f t="shared" si="28"/>
        <v>-50910.507832703821</v>
      </c>
      <c r="AH27" s="10">
        <f t="shared" si="28"/>
        <v>-77898.0299160047</v>
      </c>
      <c r="AI27" s="10">
        <f t="shared" si="28"/>
        <v>-69932.059335914193</v>
      </c>
      <c r="AJ27" s="10">
        <f t="shared" si="28"/>
        <v>-213665.74360952305</v>
      </c>
      <c r="AK27" s="10">
        <f t="shared" si="28"/>
        <v>64654.900497801056</v>
      </c>
      <c r="AL27" s="10">
        <f t="shared" si="28"/>
        <v>32662.902104281435</v>
      </c>
      <c r="AM27" s="10">
        <f t="shared" ref="AM27:BR27" si="29">AM25+AM26</f>
        <v>37031.240551347233</v>
      </c>
      <c r="AN27" s="10">
        <f t="shared" si="29"/>
        <v>59745.866325139636</v>
      </c>
      <c r="AO27" s="10">
        <f t="shared" si="29"/>
        <v>88308.41697772796</v>
      </c>
      <c r="AP27" s="10">
        <f t="shared" si="29"/>
        <v>82641.334615120039</v>
      </c>
      <c r="AQ27" s="10">
        <f t="shared" si="29"/>
        <v>87429.147373902902</v>
      </c>
      <c r="AR27" s="10">
        <f t="shared" si="29"/>
        <v>96240.775927003182</v>
      </c>
      <c r="AS27" s="10">
        <f t="shared" si="29"/>
        <v>97392.064237735263</v>
      </c>
      <c r="AT27" s="10">
        <f t="shared" si="29"/>
        <v>58500.056604247213</v>
      </c>
      <c r="AU27" s="10">
        <f t="shared" si="29"/>
        <v>95362.226669722935</v>
      </c>
      <c r="AV27" s="10">
        <f t="shared" si="29"/>
        <v>101905.86664602478</v>
      </c>
      <c r="AW27" s="10">
        <f t="shared" si="29"/>
        <v>103698.75395315577</v>
      </c>
      <c r="AX27" s="10">
        <f t="shared" si="29"/>
        <v>87748.5177381791</v>
      </c>
      <c r="AY27" s="10">
        <f t="shared" si="29"/>
        <v>104125.67459011878</v>
      </c>
      <c r="AZ27" s="10">
        <f t="shared" si="29"/>
        <v>104969.93849040823</v>
      </c>
      <c r="BA27" s="10">
        <f t="shared" si="29"/>
        <v>106983.83975502651</v>
      </c>
      <c r="BB27" s="10">
        <f t="shared" si="29"/>
        <v>66299.749701105044</v>
      </c>
      <c r="BC27" s="10">
        <f t="shared" si="29"/>
        <v>106094.78812683027</v>
      </c>
      <c r="BD27" s="10">
        <f t="shared" si="29"/>
        <v>95587.993024363852</v>
      </c>
      <c r="BE27" s="10">
        <f t="shared" si="29"/>
        <v>96742.416333992238</v>
      </c>
      <c r="BF27" s="10">
        <f t="shared" si="29"/>
        <v>80479.608247002645</v>
      </c>
      <c r="BG27" s="10">
        <f t="shared" si="29"/>
        <v>97212.778634283226</v>
      </c>
      <c r="BH27" s="10">
        <f t="shared" si="29"/>
        <v>97572.252507960919</v>
      </c>
      <c r="BI27" s="10">
        <f t="shared" si="29"/>
        <v>99021.194185699336</v>
      </c>
      <c r="BJ27" s="10">
        <f t="shared" si="29"/>
        <v>62350.924301485604</v>
      </c>
      <c r="BK27" s="10">
        <f t="shared" si="29"/>
        <v>98035.144335689896</v>
      </c>
      <c r="BL27" s="10">
        <f t="shared" si="29"/>
        <v>99833.583672624285</v>
      </c>
      <c r="BM27" s="10">
        <f t="shared" si="29"/>
        <v>101692.51316483651</v>
      </c>
      <c r="BN27" s="10">
        <f t="shared" si="29"/>
        <v>84834.994190101803</v>
      </c>
      <c r="BO27" s="10">
        <f t="shared" si="29"/>
        <v>102321.12762113925</v>
      </c>
      <c r="BP27" s="10">
        <f t="shared" si="29"/>
        <v>102424.20774854222</v>
      </c>
      <c r="BQ27" s="10">
        <f t="shared" si="29"/>
        <v>104328.13348320778</v>
      </c>
      <c r="BR27" s="10">
        <f t="shared" si="29"/>
        <v>66274.800478911624</v>
      </c>
      <c r="BS27" s="10">
        <f t="shared" ref="BS27:CX27" si="30">BS25+BS26</f>
        <v>103267.16420084386</v>
      </c>
      <c r="BT27" s="10">
        <f t="shared" si="30"/>
        <v>105496.68096295842</v>
      </c>
      <c r="BU27" s="10">
        <f t="shared" si="30"/>
        <v>106753.32826561695</v>
      </c>
      <c r="BV27" s="10">
        <f t="shared" si="30"/>
        <v>89041.622442694104</v>
      </c>
      <c r="BW27" s="10">
        <f t="shared" si="30"/>
        <v>107303.29343995935</v>
      </c>
      <c r="BX27" s="10">
        <f t="shared" si="30"/>
        <v>90263.950445779483</v>
      </c>
      <c r="BY27" s="10">
        <f t="shared" si="30"/>
        <v>91507.697452464156</v>
      </c>
      <c r="BZ27" s="10">
        <f t="shared" si="30"/>
        <v>58625.185819832026</v>
      </c>
      <c r="CA27" s="10">
        <f t="shared" si="30"/>
        <v>90363.870691081727</v>
      </c>
      <c r="CB27" s="10">
        <f t="shared" si="30"/>
        <v>91686.45182139767</v>
      </c>
      <c r="CC27" s="10">
        <f t="shared" si="30"/>
        <v>93376.839582830187</v>
      </c>
      <c r="CD27" s="10">
        <f t="shared" si="30"/>
        <v>75763.073516374046</v>
      </c>
      <c r="CE27" s="10">
        <f t="shared" si="30"/>
        <v>94096.13850603906</v>
      </c>
      <c r="CF27" s="10">
        <f t="shared" si="30"/>
        <v>94098.072337180914</v>
      </c>
      <c r="CG27" s="10">
        <f t="shared" si="30"/>
        <v>95824.569082710834</v>
      </c>
      <c r="CH27" s="10">
        <f t="shared" si="30"/>
        <v>61494.105319696275</v>
      </c>
      <c r="CI27" s="10">
        <f t="shared" si="30"/>
        <v>94662.779779620716</v>
      </c>
      <c r="CJ27" s="10">
        <f t="shared" si="30"/>
        <v>97024.416354222572</v>
      </c>
      <c r="CK27" s="10">
        <f t="shared" si="30"/>
        <v>98250.87219321153</v>
      </c>
      <c r="CL27" s="10">
        <f t="shared" si="30"/>
        <v>79768.826663346874</v>
      </c>
      <c r="CM27" s="10">
        <f t="shared" si="30"/>
        <v>98874.069145815913</v>
      </c>
      <c r="CN27" s="10">
        <f t="shared" si="30"/>
        <v>99236.5788810675</v>
      </c>
      <c r="CO27" s="10">
        <f t="shared" si="30"/>
        <v>100588.78474896688</v>
      </c>
      <c r="CP27" s="10">
        <f t="shared" si="30"/>
        <v>64775.090986706171</v>
      </c>
      <c r="CQ27" s="10">
        <f t="shared" si="30"/>
        <v>99383.738268401445</v>
      </c>
      <c r="CR27" s="10">
        <f t="shared" si="30"/>
        <v>101240.09132258725</v>
      </c>
      <c r="CS27" s="10">
        <f t="shared" si="30"/>
        <v>103064.05089615929</v>
      </c>
      <c r="CT27" s="10">
        <f t="shared" si="30"/>
        <v>83948.875875691534</v>
      </c>
      <c r="CU27" s="10">
        <f t="shared" si="30"/>
        <v>103844.6199965319</v>
      </c>
      <c r="CV27" s="10">
        <f t="shared" si="30"/>
        <v>103614.65412569969</v>
      </c>
      <c r="CW27" s="10">
        <f t="shared" si="30"/>
        <v>105474.59382728158</v>
      </c>
      <c r="CX27" s="10">
        <f t="shared" si="30"/>
        <v>68164.728257470866</v>
      </c>
      <c r="CY27" s="10">
        <f t="shared" ref="CY27:DG27" si="31">CY25+CY26</f>
        <v>104230.27170795179</v>
      </c>
      <c r="CZ27" s="10">
        <f t="shared" si="31"/>
        <v>106538.32241167594</v>
      </c>
      <c r="DA27" s="10">
        <f t="shared" si="31"/>
        <v>107849.79624669853</v>
      </c>
      <c r="DB27" s="10">
        <f t="shared" si="31"/>
        <v>87831.753147505224</v>
      </c>
      <c r="DC27" s="10">
        <f t="shared" si="31"/>
        <v>108517.24708499681</v>
      </c>
      <c r="DD27" s="10">
        <f t="shared" si="31"/>
        <v>108822.40089612176</v>
      </c>
      <c r="DE27" s="10">
        <f t="shared" si="31"/>
        <v>110284.73274753774</v>
      </c>
      <c r="DF27" s="10">
        <f t="shared" si="31"/>
        <v>71411.416761451575</v>
      </c>
      <c r="DG27" s="10">
        <f t="shared" si="31"/>
        <v>3698777.5582590355</v>
      </c>
    </row>
    <row r="28" spans="2:111" ht="18" customHeight="1">
      <c r="B28" s="3" t="s">
        <v>140</v>
      </c>
      <c r="C28" s="4" t="s">
        <v>136</v>
      </c>
      <c r="D28" s="3" t="s">
        <v>151</v>
      </c>
      <c r="G28" s="14">
        <f>XIRR(G27:DG27,G4:DG4,0)</f>
        <v>0.1484471533203125</v>
      </c>
    </row>
    <row r="29" spans="2:111" ht="18" customHeight="1"/>
    <row r="30" spans="2:111" ht="18" customHeight="1"/>
    <row r="31" spans="2:111" ht="18" customHeight="1"/>
    <row r="32" spans="2:111" ht="18" customHeight="1"/>
    <row r="33" spans="7:111" ht="18" customHeight="1"/>
    <row r="34" spans="7:111" ht="18" customHeight="1"/>
    <row r="35" spans="7:111" ht="18" customHeight="1"/>
    <row r="37" spans="7:111" ht="15"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CalculationComponents">
                <anchor moveWithCells="1" sizeWithCells="1">
                  <from>
                    <xdr:col>1</xdr:col>
                    <xdr:colOff>28575</xdr:colOff>
                    <xdr:row>0</xdr:row>
                    <xdr:rowOff>114300</xdr:rowOff>
                  </from>
                  <to>
                    <xdr:col>1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553F3-6DD2-4106-BF8A-780892E9CFD3}">
  <sheetPr codeName="Sheet2"/>
  <dimension ref="B2:C9"/>
  <sheetViews>
    <sheetView workbookViewId="0">
      <selection activeCell="D34" sqref="D34"/>
    </sheetView>
  </sheetViews>
  <sheetFormatPr defaultRowHeight="15"/>
  <sheetData>
    <row r="2" spans="2:3">
      <c r="B2" s="3" t="s">
        <v>10</v>
      </c>
      <c r="C2" s="3"/>
    </row>
    <row r="3" spans="2:3">
      <c r="B3" s="3" t="str">
        <f>mdl!B9</f>
        <v>Revenue</v>
      </c>
      <c r="C3" s="5">
        <f>SUM(mdl!G9:DG9)-SUM([1]Ratios!$G$9:$DG$9)</f>
        <v>0</v>
      </c>
    </row>
    <row r="4" spans="2:3">
      <c r="B4" s="3" t="str">
        <f>mdl!B12</f>
        <v>Gas cost</v>
      </c>
      <c r="C4" s="5">
        <f>SUM(mdl!G12:DG12)+SUM('[1]Sales&amp;OpEx'!$G$30:$DG$30)</f>
        <v>0</v>
      </c>
    </row>
    <row r="5" spans="2:3">
      <c r="B5" s="3" t="str">
        <f>mdl!B16</f>
        <v>Total Opex</v>
      </c>
      <c r="C5" s="5">
        <f>SUM(mdl!G16:DG16)+SUM('[1]Sales&amp;OpEx'!$G$48:$DG$48)</f>
        <v>0</v>
      </c>
    </row>
    <row r="6" spans="2:3">
      <c r="B6" s="3" t="str">
        <f>mdl!B18</f>
        <v>EBITDA</v>
      </c>
      <c r="C6" s="5">
        <f>SUM(mdl!G18:DG18)-SUM([1]Ratios!$G$13:$DG$13)</f>
        <v>0</v>
      </c>
    </row>
    <row r="7" spans="2:3">
      <c r="B7" s="3" t="str">
        <f>mdl!B20</f>
        <v>EBIT</v>
      </c>
      <c r="C7" s="5">
        <f>SUM(mdl!G20:DG20)-SUM([1]Ratios!$G$15:$DG$15)</f>
        <v>0</v>
      </c>
    </row>
    <row r="8" spans="2:3">
      <c r="B8" s="3" t="str">
        <f>mdl!B21</f>
        <v>Налог на EBIT</v>
      </c>
      <c r="C8" s="5">
        <f>SUM(mdl!G21:DG21)+SUM([1]Ratios!$G$16:$DG$16)</f>
        <v>2466.3832082538866</v>
      </c>
    </row>
    <row r="9" spans="2:3">
      <c r="B9" s="3" t="s">
        <v>7</v>
      </c>
      <c r="C9" s="5">
        <f>SUM(mdl!G25:DG25)-SUM([1]Ratios!$G$21:$DG$21)</f>
        <v>-2466.3832082543522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332A6-851F-40C1-9DA1-ACD768D7350D}">
  <sheetPr codeName="Sheet3"/>
  <dimension ref="B2:V52"/>
  <sheetViews>
    <sheetView showGridLines="0" workbookViewId="0">
      <selection activeCell="B38" sqref="B38"/>
    </sheetView>
  </sheetViews>
  <sheetFormatPr defaultRowHeight="15"/>
  <cols>
    <col min="1" max="1" width="6.140625" customWidth="1"/>
    <col min="2" max="2" width="16" customWidth="1"/>
    <col min="3" max="3" width="25.7109375" customWidth="1"/>
    <col min="4" max="4" width="31.5703125" customWidth="1"/>
    <col min="22" max="22" width="96.7109375" customWidth="1"/>
  </cols>
  <sheetData>
    <row r="2" spans="2:2" ht="18">
      <c r="B2" s="15" t="s">
        <v>153</v>
      </c>
    </row>
    <row r="3" spans="2:2">
      <c r="B3" s="16"/>
    </row>
    <row r="4" spans="2:2">
      <c r="B4" s="17" t="s">
        <v>154</v>
      </c>
    </row>
    <row r="5" spans="2:2">
      <c r="B5" s="16" t="s">
        <v>155</v>
      </c>
    </row>
    <row r="6" spans="2:2">
      <c r="B6" s="16"/>
    </row>
    <row r="7" spans="2:2">
      <c r="B7" s="17" t="s">
        <v>156</v>
      </c>
    </row>
    <row r="8" spans="2:2">
      <c r="B8" s="18" t="s">
        <v>157</v>
      </c>
    </row>
    <row r="9" spans="2:2">
      <c r="B9" s="18" t="s">
        <v>158</v>
      </c>
    </row>
    <row r="10" spans="2:2">
      <c r="B10" s="18" t="s">
        <v>159</v>
      </c>
    </row>
    <row r="11" spans="2:2">
      <c r="B11" s="16"/>
    </row>
    <row r="12" spans="2:2">
      <c r="B12" s="17" t="s">
        <v>160</v>
      </c>
    </row>
    <row r="13" spans="2:2">
      <c r="B13" s="18" t="s">
        <v>161</v>
      </c>
    </row>
    <row r="14" spans="2:2">
      <c r="B14" s="18" t="s">
        <v>162</v>
      </c>
    </row>
    <row r="15" spans="2:2">
      <c r="B15" s="18" t="s">
        <v>163</v>
      </c>
    </row>
    <row r="16" spans="2:2">
      <c r="B16" s="16"/>
    </row>
    <row r="17" spans="2:22">
      <c r="B17" s="17" t="s">
        <v>164</v>
      </c>
    </row>
    <row r="18" spans="2:22">
      <c r="B18" s="18" t="s">
        <v>165</v>
      </c>
    </row>
    <row r="19" spans="2:22">
      <c r="B19" s="18" t="s">
        <v>166</v>
      </c>
    </row>
    <row r="20" spans="2:22">
      <c r="B20" s="19" t="s">
        <v>167</v>
      </c>
    </row>
    <row r="21" spans="2:22">
      <c r="B21" s="16"/>
    </row>
    <row r="22" spans="2:22">
      <c r="B22" s="17" t="s">
        <v>168</v>
      </c>
    </row>
    <row r="23" spans="2:22">
      <c r="B23" s="16"/>
    </row>
    <row r="24" spans="2:22">
      <c r="B24" s="17" t="s">
        <v>169</v>
      </c>
    </row>
    <row r="25" spans="2:22">
      <c r="B25" s="18" t="s">
        <v>170</v>
      </c>
    </row>
    <row r="26" spans="2:22">
      <c r="B26" s="18" t="s">
        <v>171</v>
      </c>
    </row>
    <row r="27" spans="2:22">
      <c r="B27" s="18" t="s">
        <v>172</v>
      </c>
    </row>
    <row r="28" spans="2:22">
      <c r="B28" s="18" t="s">
        <v>173</v>
      </c>
      <c r="V28" s="25"/>
    </row>
    <row r="30" spans="2:22" ht="15.75">
      <c r="B30" s="20" t="s">
        <v>174</v>
      </c>
    </row>
    <row r="32" spans="2:22">
      <c r="B32" t="s">
        <v>175</v>
      </c>
    </row>
    <row r="33" spans="2:4" ht="30">
      <c r="B33" s="26" t="s">
        <v>176</v>
      </c>
      <c r="C33" s="26" t="s">
        <v>177</v>
      </c>
      <c r="D33" s="26" t="s">
        <v>178</v>
      </c>
    </row>
    <row r="34" spans="2:4">
      <c r="B34" s="27" t="s">
        <v>12</v>
      </c>
      <c r="C34" s="28">
        <v>1000</v>
      </c>
      <c r="D34" s="27" t="s">
        <v>141</v>
      </c>
    </row>
    <row r="35" spans="2:4">
      <c r="B35" s="27" t="s">
        <v>13</v>
      </c>
      <c r="C35" s="27">
        <v>25</v>
      </c>
      <c r="D35" s="27" t="s">
        <v>141</v>
      </c>
    </row>
    <row r="36" spans="2:4">
      <c r="B36" s="27" t="s">
        <v>14</v>
      </c>
      <c r="C36" s="27">
        <f>G4*G5</f>
        <v>0</v>
      </c>
      <c r="D36" s="27" t="s">
        <v>179</v>
      </c>
    </row>
    <row r="37" spans="2:4">
      <c r="B37" s="27" t="s">
        <v>180</v>
      </c>
      <c r="C37" s="29" t="s">
        <v>182</v>
      </c>
      <c r="D37" s="27" t="s">
        <v>181</v>
      </c>
    </row>
    <row r="48" spans="2:4">
      <c r="C48" s="21"/>
      <c r="D48" s="21"/>
    </row>
    <row r="49" spans="3:4">
      <c r="C49" s="23"/>
      <c r="D49" s="22"/>
    </row>
    <row r="50" spans="3:4">
      <c r="C50" s="22"/>
      <c r="D50" s="22"/>
    </row>
    <row r="51" spans="3:4">
      <c r="C51" s="22"/>
      <c r="D51" s="22"/>
    </row>
    <row r="52" spans="3:4">
      <c r="C52" s="24"/>
      <c r="D52" s="2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mdl</vt:lpstr>
      <vt:lpstr>_checks</vt:lpstr>
      <vt:lpstr>macro_descr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Долгушев</dc:creator>
  <cp:lastModifiedBy>Иван Долгушев</cp:lastModifiedBy>
  <dcterms:created xsi:type="dcterms:W3CDTF">2015-06-05T18:17:20Z</dcterms:created>
  <dcterms:modified xsi:type="dcterms:W3CDTF">2025-06-29T19:37:30Z</dcterms:modified>
</cp:coreProperties>
</file>